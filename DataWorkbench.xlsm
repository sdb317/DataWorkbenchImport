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bell\Dev\Projects\DataWorkbench\_testing\Import\"/>
    </mc:Choice>
  </mc:AlternateContent>
  <bookViews>
    <workbookView xWindow="0" yWindow="0" windowWidth="17940" windowHeight="24270"/>
  </bookViews>
  <sheets>
    <sheet name="DataWorkbench" sheetId="2" r:id="rId1"/>
  </sheets>
  <externalReferences>
    <externalReference r:id="rId2"/>
    <externalReference r:id="rId3"/>
  </externalReferenc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45" i="2" l="1"/>
  <c r="V47" i="2" s="1"/>
  <c r="U45" i="2"/>
  <c r="U49" i="2" s="1"/>
  <c r="T45" i="2"/>
  <c r="T49" i="2" s="1"/>
  <c r="S45" i="2"/>
  <c r="S49" i="2" s="1"/>
  <c r="R45" i="2"/>
  <c r="R49" i="2" s="1"/>
  <c r="Q45" i="2"/>
  <c r="Q49" i="2" s="1"/>
  <c r="P45" i="2"/>
  <c r="P49" i="2" s="1"/>
  <c r="O45" i="2"/>
  <c r="O49" i="2" s="1"/>
  <c r="N45" i="2"/>
  <c r="N47" i="2" s="1"/>
  <c r="M45" i="2"/>
  <c r="M49" i="2" s="1"/>
  <c r="L45" i="2"/>
  <c r="L49" i="2" s="1"/>
  <c r="K45" i="2"/>
  <c r="K49" i="2" s="1"/>
  <c r="J45" i="2"/>
  <c r="J48" i="2" s="1"/>
  <c r="I45" i="2"/>
  <c r="I49" i="2" s="1"/>
  <c r="H45" i="2"/>
  <c r="H49" i="2" s="1"/>
  <c r="G45" i="2"/>
  <c r="G49" i="2" s="1"/>
  <c r="F45" i="2"/>
  <c r="F49" i="2" s="1"/>
  <c r="E45" i="2"/>
  <c r="E49" i="2" s="1"/>
  <c r="D45" i="2"/>
  <c r="D49" i="2" s="1"/>
  <c r="C45" i="2"/>
  <c r="C49" i="2" s="1"/>
  <c r="H42" i="2"/>
  <c r="G42" i="2"/>
  <c r="D42" i="2"/>
  <c r="C42" i="2"/>
  <c r="H40" i="2"/>
  <c r="G40" i="2"/>
  <c r="D40" i="2"/>
  <c r="C40" i="2"/>
  <c r="H38" i="2"/>
  <c r="G38" i="2"/>
  <c r="D38" i="2"/>
  <c r="C38" i="2"/>
  <c r="H36" i="2"/>
  <c r="G36" i="2"/>
  <c r="D36" i="2"/>
  <c r="C36" i="2"/>
  <c r="H35" i="2"/>
  <c r="H41" i="2" s="1"/>
  <c r="G35" i="2"/>
  <c r="G41" i="2" s="1"/>
  <c r="F35" i="2"/>
  <c r="F42" i="2" s="1"/>
  <c r="E35" i="2"/>
  <c r="E42" i="2" s="1"/>
  <c r="D35" i="2"/>
  <c r="D41" i="2" s="1"/>
  <c r="C35" i="2"/>
  <c r="C41" i="2" s="1"/>
  <c r="D32" i="2"/>
  <c r="C32" i="2"/>
  <c r="A32" i="2"/>
  <c r="D25" i="2"/>
  <c r="D23" i="2"/>
  <c r="D18" i="2"/>
  <c r="D15" i="2"/>
  <c r="D13" i="2"/>
  <c r="D12" i="2"/>
  <c r="D24" i="2" s="1"/>
  <c r="C12" i="2"/>
  <c r="C25" i="2" s="1"/>
  <c r="A12" i="2"/>
  <c r="D3" i="2"/>
  <c r="D9" i="2" s="1"/>
  <c r="C3" i="2"/>
  <c r="C8" i="2" s="1"/>
  <c r="A3" i="2"/>
  <c r="E37" i="2" l="1"/>
  <c r="E41" i="2"/>
  <c r="D5" i="2"/>
  <c r="D8" i="2"/>
  <c r="C14" i="2"/>
  <c r="C20" i="2"/>
  <c r="C28" i="2"/>
  <c r="F37" i="2"/>
  <c r="F39" i="2"/>
  <c r="J46" i="2"/>
  <c r="R46" i="2"/>
  <c r="V46" i="2"/>
  <c r="J47" i="2"/>
  <c r="R47" i="2"/>
  <c r="F48" i="2"/>
  <c r="N48" i="2"/>
  <c r="V48" i="2"/>
  <c r="J49" i="2"/>
  <c r="N49" i="2"/>
  <c r="V49" i="2"/>
  <c r="C4" i="2"/>
  <c r="C7" i="2"/>
  <c r="C9" i="2"/>
  <c r="D14" i="2"/>
  <c r="D20" i="2"/>
  <c r="D28" i="2"/>
  <c r="C37" i="2"/>
  <c r="C39" i="2"/>
  <c r="C46" i="2"/>
  <c r="G46" i="2"/>
  <c r="K46" i="2"/>
  <c r="O46" i="2"/>
  <c r="S46" i="2"/>
  <c r="K47" i="2"/>
  <c r="O47" i="2"/>
  <c r="S47" i="2"/>
  <c r="K48" i="2"/>
  <c r="O48" i="2"/>
  <c r="S48" i="2"/>
  <c r="E39" i="2"/>
  <c r="C17" i="2"/>
  <c r="C24" i="2"/>
  <c r="F41" i="2"/>
  <c r="F46" i="2"/>
  <c r="N46" i="2"/>
  <c r="F47" i="2"/>
  <c r="R48" i="2"/>
  <c r="D17" i="2"/>
  <c r="E36" i="2"/>
  <c r="G37" i="2"/>
  <c r="E38" i="2"/>
  <c r="G39" i="2"/>
  <c r="E40" i="2"/>
  <c r="D4" i="2"/>
  <c r="D7" i="2"/>
  <c r="C13" i="2"/>
  <c r="C15" i="2"/>
  <c r="C18" i="2"/>
  <c r="C23" i="2"/>
  <c r="F36" i="2"/>
  <c r="D37" i="2"/>
  <c r="H37" i="2"/>
  <c r="F38" i="2"/>
  <c r="D39" i="2"/>
  <c r="H39" i="2"/>
  <c r="F40" i="2"/>
  <c r="D46" i="2"/>
  <c r="H46" i="2"/>
  <c r="L46" i="2"/>
  <c r="P46" i="2"/>
  <c r="T46" i="2"/>
  <c r="D47" i="2"/>
  <c r="H47" i="2"/>
  <c r="L47" i="2"/>
  <c r="P47" i="2"/>
  <c r="T47" i="2"/>
  <c r="D48" i="2"/>
  <c r="H48" i="2"/>
  <c r="L48" i="2"/>
  <c r="P48" i="2"/>
  <c r="T48" i="2"/>
  <c r="C5" i="2"/>
  <c r="E46" i="2"/>
  <c r="I46" i="2"/>
  <c r="M46" i="2"/>
  <c r="Q46" i="2"/>
  <c r="U46" i="2"/>
  <c r="I47" i="2"/>
  <c r="M47" i="2"/>
  <c r="Q47" i="2"/>
  <c r="U47" i="2"/>
  <c r="I48" i="2"/>
  <c r="M48" i="2"/>
  <c r="Q48" i="2"/>
  <c r="U48" i="2"/>
  <c r="E48" i="2"/>
  <c r="C47" i="2"/>
  <c r="G48" i="2"/>
  <c r="E47" i="2"/>
  <c r="G47" i="2"/>
  <c r="C48" i="2"/>
</calcChain>
</file>

<file path=xl/sharedStrings.xml><?xml version="1.0" encoding="utf-8"?>
<sst xmlns="http://schemas.openxmlformats.org/spreadsheetml/2006/main" count="43" uniqueCount="36">
  <si>
    <t>Count</t>
  </si>
  <si>
    <t>Activity</t>
  </si>
  <si>
    <t>EthicsAuthority</t>
  </si>
  <si>
    <t>EthicsApprovalID</t>
  </si>
  <si>
    <t>Method</t>
  </si>
  <si>
    <t>Protocol</t>
  </si>
  <si>
    <t>Preparation</t>
  </si>
  <si>
    <t>Description</t>
  </si>
  <si>
    <t>Dataset</t>
  </si>
  <si>
    <t>SpecimenGroup</t>
  </si>
  <si>
    <t>LicenseType</t>
  </si>
  <si>
    <t>LicenseID</t>
  </si>
  <si>
    <t>ReleaseDate</t>
  </si>
  <si>
    <t>EmbargoStatus</t>
  </si>
  <si>
    <t>Format</t>
  </si>
  <si>
    <t>ReferenceSpace</t>
  </si>
  <si>
    <t>ParcellationAtlas</t>
  </si>
  <si>
    <t>Region</t>
  </si>
  <si>
    <t>Owner</t>
  </si>
  <si>
    <t>Contributor</t>
  </si>
  <si>
    <t>DataLink</t>
  </si>
  <si>
    <t>DatasetDOI</t>
  </si>
  <si>
    <t>PublicationDOI</t>
  </si>
  <si>
    <t>Files</t>
  </si>
  <si>
    <t>Subject</t>
  </si>
  <si>
    <t>SubjectID</t>
  </si>
  <si>
    <t>Species</t>
  </si>
  <si>
    <t>Strain</t>
  </si>
  <si>
    <t>Genotype</t>
  </si>
  <si>
    <t>Sex</t>
  </si>
  <si>
    <t>Weight</t>
  </si>
  <si>
    <t>Age</t>
  </si>
  <si>
    <t>AgeCategory</t>
  </si>
  <si>
    <t>Sample</t>
  </si>
  <si>
    <t>SampleID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</si>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</sst>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3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1" fillId="0" borderId="0" xfId="1" applyFont="1" applyAlignment="1"/>
    <xf numFmtId="0" fontId="1" fillId="0" borderId="0" xfId="1" applyFont="1" applyAlignment="1">
      <alignment horizontal="center"/>
    </xf>
    <xf numFmtId="0" fontId="2" fillId="0" borderId="0" xfId="1" applyFont="1" applyAlignment="1"/>
    <xf numFmtId="164" fontId="1" fillId="0" borderId="0" xfId="1" applyNumberFormat="1" applyFont="1" applyAlignment="1"/>
    <xf numFmtId="164" fontId="1" fillId="0" borderId="0" xfId="1" applyNumberFormat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odent.RUP.T1.1.6.Component.15/GoogleSheet.1EYf7ZGEphJ4XoebBC_EvxrfvvRhxrrJ0y0Q1lpU50Xw.1804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Impor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NDS"/>
      <sheetName val="DataWorkbench"/>
      <sheetName val="MINDS_description"/>
      <sheetName val="Additional metadata"/>
      <sheetName val="DropDown"/>
    </sheetNames>
    <sheetDataSet>
      <sheetData sheetId="0">
        <row r="17">
          <cell r="C17" t="str">
            <v>Action potential dependent sIPSCs - from juvenile (P21-30) C57Bl6/J male mice</v>
          </cell>
        </row>
        <row r="21">
          <cell r="C21" t="str">
            <v>hbp-00015_sIPSCs_Activity</v>
          </cell>
        </row>
        <row r="22">
          <cell r="C22" t="str">
            <v>Ministry of Health, Italy</v>
          </cell>
        </row>
        <row r="24">
          <cell r="C24" t="str">
            <v>Ex vivo</v>
          </cell>
        </row>
        <row r="25">
          <cell r="C25" t="str">
            <v>Hippocampus CA1 pyramidal cell;</v>
          </cell>
        </row>
        <row r="29">
          <cell r="C29" t="str">
            <v>hbp-00015_sIPSCs_Dataset</v>
          </cell>
        </row>
        <row r="30">
          <cell r="C30" t="str">
            <v>hbp-00015_sIPSCs_Specimen</v>
          </cell>
        </row>
        <row r="34">
          <cell r="C34">
            <v>42460</v>
          </cell>
        </row>
        <row r="35">
          <cell r="C35" t="str">
            <v>No embargo</v>
          </cell>
        </row>
        <row r="36">
          <cell r="C36" t="str">
            <v>Creative Commons Attribution-NonCommercial-ShareAlike 4.0 International</v>
          </cell>
        </row>
        <row r="37">
          <cell r="C37" t="str">
            <v>Cherubini, Enrico</v>
          </cell>
        </row>
        <row r="39">
          <cell r="C39" t="str">
            <v>Cherubini, Enrico; Marchetti, Cristina; Marinelli, Silvia</v>
          </cell>
        </row>
        <row r="41">
          <cell r="C41" t="str">
            <v>https://object.cscs.ch/v1/AUTH_63ea6845b1d34ad7a43c8158d9572867/Cherubini_RUP_T.1.1.6_nar032/hbp-00015</v>
          </cell>
        </row>
        <row r="45">
          <cell r="C45" t="str">
            <v>Sub1</v>
          </cell>
          <cell r="E45" t="str">
            <v>Sub2</v>
          </cell>
          <cell r="G45" t="str">
            <v>Sub3</v>
          </cell>
        </row>
        <row r="46">
          <cell r="C46" t="str">
            <v>Mus musculus</v>
          </cell>
          <cell r="E46" t="str">
            <v>Mus musculus</v>
          </cell>
          <cell r="G46" t="str">
            <v>Mus musculus</v>
          </cell>
        </row>
        <row r="47">
          <cell r="C47" t="str">
            <v>C57BL/6J</v>
          </cell>
          <cell r="E47" t="str">
            <v>C57BL/6J</v>
          </cell>
          <cell r="G47" t="str">
            <v>C57BL/6J</v>
          </cell>
        </row>
        <row r="48">
          <cell r="C48" t="str">
            <v>Wild type</v>
          </cell>
          <cell r="E48" t="str">
            <v>Wild type</v>
          </cell>
          <cell r="G48" t="str">
            <v>Wild type</v>
          </cell>
        </row>
        <row r="49">
          <cell r="C49" t="str">
            <v>Male</v>
          </cell>
          <cell r="E49" t="str">
            <v>Male</v>
          </cell>
          <cell r="G49" t="str">
            <v>Male</v>
          </cell>
        </row>
        <row r="51">
          <cell r="C51" t="str">
            <v>21 - 30 P</v>
          </cell>
          <cell r="E51" t="str">
            <v>21 - 30 P</v>
          </cell>
          <cell r="G51" t="str">
            <v>21 - 30 P</v>
          </cell>
        </row>
        <row r="52">
          <cell r="C52" t="str">
            <v>Juvenile</v>
          </cell>
          <cell r="E52" t="str">
            <v>Juvenile</v>
          </cell>
          <cell r="G52" t="str">
            <v>Juvenile</v>
          </cell>
        </row>
        <row r="55">
          <cell r="C55" t="str">
            <v>Sub1</v>
          </cell>
          <cell r="E55" t="str">
            <v>Sub2</v>
          </cell>
          <cell r="G55" t="str">
            <v>Sub3</v>
          </cell>
        </row>
        <row r="56">
          <cell r="C56" t="str">
            <v>Samp1</v>
          </cell>
          <cell r="E56" t="str">
            <v>Samp1</v>
          </cell>
          <cell r="G56" t="str">
            <v>Samp1</v>
          </cell>
        </row>
        <row r="58">
          <cell r="C58" t="str">
            <v>Hippocampus, CA1</v>
          </cell>
          <cell r="E58" t="str">
            <v>Hippocampus, CA1</v>
          </cell>
          <cell r="G58" t="str">
            <v>Hippocampus, CA1</v>
          </cell>
        </row>
        <row r="64">
          <cell r="C64" t="str">
            <v>https://object.cscs.ch/v1/AUTH_63ea6845b1d34ad7a43c8158d9572867/Cherubini_RUP_T.1.1.6_nar032/hbp-00015/sIPSCs/Sub1/Samp1</v>
          </cell>
          <cell r="E64" t="str">
            <v>https://object.cscs.ch/v1/AUTH_63ea6845b1d34ad7a43c8158d9572867/Cherubini_RUP_T.1.1.6_nar032/hbp-00015/sIPSCs/Sub2/Samp1</v>
          </cell>
          <cell r="G64" t="str">
            <v>https://object.cscs.ch/v1/AUTH_63ea6845b1d34ad7a43c8158d9572867/Cherubini_RUP_T.1.1.6_nar032/hbp-00015/sIPSCs/Sub3/Samp1</v>
          </cell>
        </row>
        <row r="67">
          <cell r="C67" t="str">
            <v>___ Electrophysiology recording</v>
          </cell>
          <cell r="E67" t="str">
            <v>___ Electrophysiology recording</v>
          </cell>
          <cell r="G67" t="str">
            <v>___ Electrophysiology recording</v>
          </cell>
        </row>
        <row r="68">
          <cell r="C68" t="str">
            <v>____________ Voltage clamp recording</v>
          </cell>
          <cell r="E68" t="str">
            <v>____________ Voltage clamp recording</v>
          </cell>
          <cell r="G68" t="str">
            <v>____________ Voltage clamp recording</v>
          </cell>
        </row>
        <row r="69">
          <cell r="C69" t="str">
            <v>_________ Single electrode recording</v>
          </cell>
          <cell r="E69" t="str">
            <v>_________ Single electrode recording</v>
          </cell>
          <cell r="G69" t="str">
            <v>_________ Single electrode recording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TEXTJOI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51"/>
  <sheetViews>
    <sheetView tabSelected="1" zoomScale="90" zoomScaleNormal="90" workbookViewId="0"/>
  </sheetViews>
  <sheetFormatPr defaultColWidth="15.7109375" defaultRowHeight="12.75" x14ac:dyDescent="0.2"/>
  <cols>
    <col min="1" max="16384" width="15.7109375" style="1"/>
  </cols>
  <sheetData>
    <row r="1" spans="1:4" x14ac:dyDescent="0.2">
      <c r="B1" s="2" t="s">
        <v>0</v>
      </c>
    </row>
    <row r="2" spans="1:4" x14ac:dyDescent="0.2">
      <c r="A2" s="3" t="s">
        <v>1</v>
      </c>
      <c r="B2" s="2">
        <v>1</v>
      </c>
    </row>
    <row r="3" spans="1:4" x14ac:dyDescent="0.2">
      <c r="A3" s="1" t="str">
        <f>A2&amp;"ID"</f>
        <v>ActivityID</v>
      </c>
      <c r="B3" s="2"/>
      <c r="C3" s="1" t="str">
        <f>IF(NOT(ISBLANK([1]MINDS!C$21)),[1]MINDS!C$21,"")</f>
        <v>hbp-00015_sIPSCs_Activity</v>
      </c>
      <c r="D3" s="1" t="str">
        <f>IF(NOT(ISBLANK([1]MINDS!D$21)),[1]MINDS!D$21,"")</f>
        <v/>
      </c>
    </row>
    <row r="4" spans="1:4" x14ac:dyDescent="0.2">
      <c r="A4" s="1" t="s">
        <v>2</v>
      </c>
      <c r="B4" s="2"/>
      <c r="C4" s="1" t="str">
        <f>IF(C$3&lt;&gt;"",IF(NOT(ISBLANK([1]MINDS!C$22)),[1]MINDS!C$22,""),"")</f>
        <v>Ministry of Health, Italy</v>
      </c>
      <c r="D4" s="1" t="str">
        <f>IF(D$3&lt;&gt;"",IF(NOT(ISBLANK([1]MINDS!D$22)),[1]MINDS!D$22,""),"")</f>
        <v/>
      </c>
    </row>
    <row r="5" spans="1:4" x14ac:dyDescent="0.2">
      <c r="A5" s="1" t="s">
        <v>3</v>
      </c>
      <c r="B5" s="2"/>
      <c r="C5" s="1" t="str">
        <f>IF(C$3&lt;&gt;"",IF(NOT(ISBLANK([1]MINDS!C$23)),[1]MINDS!C$23,""),"")</f>
        <v/>
      </c>
      <c r="D5" s="1" t="str">
        <f>IF(D$3&lt;&gt;"",IF(NOT(ISBLANK([1]MINDS!D$23)),[1]MINDS!D$23,""),"")</f>
        <v/>
      </c>
    </row>
    <row r="6" spans="1:4" x14ac:dyDescent="0.2">
      <c r="A6" s="1" t="s">
        <v>4</v>
      </c>
      <c r="B6" s="2"/>
    </row>
    <row r="7" spans="1:4" x14ac:dyDescent="0.2">
      <c r="A7" s="1" t="s">
        <v>5</v>
      </c>
      <c r="B7" s="2"/>
      <c r="C7" s="1" t="str">
        <f>SUBSTITUTE(IF(C$3&lt;&gt;"",IF(NOT(ISBLANK([1]MINDS!C$25)),[1]MINDS!C$25,""),""),";","|")</f>
        <v>Hippocampus CA1 pyramidal cell|</v>
      </c>
      <c r="D7" s="1" t="str">
        <f>SUBSTITUTE(IF(D$3&lt;&gt;"",IF(NOT(ISBLANK([1]MINDS!D$25)),[1]MINDS!D$25,""),""),";","|")</f>
        <v/>
      </c>
    </row>
    <row r="8" spans="1:4" x14ac:dyDescent="0.2">
      <c r="A8" s="1" t="s">
        <v>6</v>
      </c>
      <c r="B8" s="2"/>
      <c r="C8" s="1" t="str">
        <f>IF(C$3&lt;&gt;"",IF(NOT(ISBLANK([1]MINDS!C$24)),[1]MINDS!C$24,""),"")</f>
        <v>Ex vivo</v>
      </c>
      <c r="D8" s="1" t="str">
        <f>IF(D$3&lt;&gt;"",IF(NOT(ISBLANK([1]MINDS!D$24)),[1]MINDS!D$24,""),"")</f>
        <v/>
      </c>
    </row>
    <row r="9" spans="1:4" x14ac:dyDescent="0.2">
      <c r="A9" s="1" t="s">
        <v>7</v>
      </c>
      <c r="B9" s="2"/>
      <c r="C9" s="1" t="str">
        <f>IF(C$3&lt;&gt;"",IF(NOT(ISBLANK([1]MINDS!C$23)),[1]MINDS!C$23,""),"")</f>
        <v/>
      </c>
      <c r="D9" s="1" t="str">
        <f>IF(D$3&lt;&gt;"",IF(NOT(ISBLANK([1]MINDS!D$23)),[1]MINDS!D$23,""),"")</f>
        <v/>
      </c>
    </row>
    <row r="10" spans="1:4" x14ac:dyDescent="0.2">
      <c r="B10" s="2"/>
    </row>
    <row r="11" spans="1:4" x14ac:dyDescent="0.2">
      <c r="A11" s="3" t="s">
        <v>8</v>
      </c>
      <c r="B11" s="2">
        <v>1</v>
      </c>
    </row>
    <row r="12" spans="1:4" x14ac:dyDescent="0.2">
      <c r="A12" s="1" t="str">
        <f>A11&amp;"ID"</f>
        <v>DatasetID</v>
      </c>
      <c r="B12" s="2"/>
      <c r="C12" s="1" t="str">
        <f>IF(NOT(ISBLANK([1]MINDS!C$29)),[1]MINDS!C$29,"")</f>
        <v>hbp-00015_sIPSCs_Dataset</v>
      </c>
      <c r="D12" s="1" t="str">
        <f>IF(NOT(ISBLANK([1]MINDS!D$29)),[1]MINDS!D$29,"")</f>
        <v/>
      </c>
    </row>
    <row r="13" spans="1:4" x14ac:dyDescent="0.2">
      <c r="A13" s="1" t="s">
        <v>9</v>
      </c>
      <c r="B13" s="2"/>
      <c r="C13" s="1" t="str">
        <f>IF(C$12&lt;&gt;"",IF(NOT(ISBLANK($C$32)),$C$32,""),"")</f>
        <v>hbp-00015_sIPSCs_Specimen</v>
      </c>
      <c r="D13" s="1" t="str">
        <f>IF(D$12&lt;&gt;"",IF(NOT(ISBLANK($C$32)),$C$32,""),"")</f>
        <v/>
      </c>
    </row>
    <row r="14" spans="1:4" x14ac:dyDescent="0.2">
      <c r="A14" s="1" t="s">
        <v>1</v>
      </c>
      <c r="B14" s="2"/>
      <c r="C14" s="1" t="str">
        <f>IF(C$12&lt;&gt;"",IF(NOT(ISBLANK(C$3)),C$3,""),"")</f>
        <v>hbp-00015_sIPSCs_Activity</v>
      </c>
      <c r="D14" s="1" t="str">
        <f>IF(D$12&lt;&gt;"",IF(NOT(ISBLANK(D$3)),D$3,""),"")</f>
        <v/>
      </c>
    </row>
    <row r="15" spans="1:4" x14ac:dyDescent="0.2">
      <c r="A15" s="1" t="s">
        <v>10</v>
      </c>
      <c r="B15" s="2"/>
      <c r="C15" s="1" t="str">
        <f>IF(C$12&lt;&gt;"",IF(NOT(ISBLANK([1]MINDS!C$36)),[1]MINDS!C$36,""),"")</f>
        <v>Creative Commons Attribution-NonCommercial-ShareAlike 4.0 International</v>
      </c>
      <c r="D15" s="1" t="str">
        <f>IF(D$12&lt;&gt;"",IF(NOT(ISBLANK([1]MINDS!D$36)),[1]MINDS!D$36,""),"")</f>
        <v/>
      </c>
    </row>
    <row r="16" spans="1:4" x14ac:dyDescent="0.2">
      <c r="A16" s="1" t="s">
        <v>11</v>
      </c>
      <c r="B16" s="2"/>
    </row>
    <row r="17" spans="1:4" s="4" customFormat="1" x14ac:dyDescent="0.2">
      <c r="A17" s="4" t="s">
        <v>12</v>
      </c>
      <c r="B17" s="5"/>
      <c r="C17" s="4" t="str">
        <f>IF(C$12&lt;&gt;"",IF(NOT(ISBLANK([1]MINDS!C$34)),TEXT([1]MINDS!C$34,"yyyy-mm-dd"),""),"")</f>
        <v>2016-03-31</v>
      </c>
      <c r="D17" s="4" t="str">
        <f>IF(D$12&lt;&gt;"",IF(NOT(ISBLANK([1]MINDS!D$34)),TEXT([1]MINDS!D$34,"yyyy-mm-dd"),""),"")</f>
        <v/>
      </c>
    </row>
    <row r="18" spans="1:4" x14ac:dyDescent="0.2">
      <c r="A18" s="1" t="s">
        <v>13</v>
      </c>
      <c r="B18" s="2"/>
      <c r="C18" s="1" t="str">
        <f>IF(C$12&lt;&gt;"",IF(NOT(ISBLANK([1]MINDS!C$35)),[1]MINDS!C$35,""),"")</f>
        <v>No embargo</v>
      </c>
      <c r="D18" s="1" t="str">
        <f>IF(D$12&lt;&gt;"",IF(NOT(ISBLANK([1]MINDS!D$35)),[1]MINDS!D$35,""),"")</f>
        <v/>
      </c>
    </row>
    <row r="19" spans="1:4" x14ac:dyDescent="0.2">
      <c r="A19" s="1" t="s">
        <v>14</v>
      </c>
      <c r="B19" s="2"/>
    </row>
    <row r="20" spans="1:4" x14ac:dyDescent="0.2">
      <c r="A20" s="1" t="s">
        <v>15</v>
      </c>
      <c r="B20" s="2"/>
      <c r="C20" s="1" t="str">
        <f>IF(C$12&lt;&gt;"",IF(NOT(ISBLANK([1]MINDS!C$40)),[1]MINDS!C$40,""),"")</f>
        <v/>
      </c>
      <c r="D20" s="1" t="str">
        <f>IF(D$12&lt;&gt;"",IF(NOT(ISBLANK([1]MINDS!D$40)),[1]MINDS!D$40,""),"")</f>
        <v/>
      </c>
    </row>
    <row r="21" spans="1:4" x14ac:dyDescent="0.2">
      <c r="A21" s="1" t="s">
        <v>16</v>
      </c>
      <c r="B21" s="2"/>
    </row>
    <row r="22" spans="1:4" x14ac:dyDescent="0.2">
      <c r="A22" s="1" t="s">
        <v>17</v>
      </c>
      <c r="B22" s="2"/>
    </row>
    <row r="23" spans="1:4" x14ac:dyDescent="0.2">
      <c r="A23" s="1" t="s">
        <v>18</v>
      </c>
      <c r="B23" s="2"/>
      <c r="C23" s="1" t="str">
        <f>IF(C$12&lt;&gt;"",IF(NOT(ISBLANK([1]MINDS!C$37)),[1]MINDS!C$37,""),"")</f>
        <v>Cherubini, Enrico</v>
      </c>
      <c r="D23" s="1" t="str">
        <f>IF(D$12&lt;&gt;"",IF(NOT(ISBLANK([1]MINDS!D$37)),[1]MINDS!D$37,""),"")</f>
        <v/>
      </c>
    </row>
    <row r="24" spans="1:4" x14ac:dyDescent="0.2">
      <c r="A24" s="1" t="s">
        <v>19</v>
      </c>
      <c r="B24" s="2"/>
      <c r="C24" s="1" t="str">
        <f>SUBSTITUTE(IF(C$12&lt;&gt;"",IF(NOT(ISBLANK([1]MINDS!C$39)),[1]MINDS!C$39,""),""),";","|")</f>
        <v>Cherubini, Enrico| Marchetti, Cristina| Marinelli, Silvia</v>
      </c>
      <c r="D24" s="1" t="str">
        <f>SUBSTITUTE(IF(D$12&lt;&gt;"",IF(NOT(ISBLANK([1]MINDS!D$39)),[1]MINDS!D$39,""),""),";","|")</f>
        <v/>
      </c>
    </row>
    <row r="25" spans="1:4" x14ac:dyDescent="0.2">
      <c r="A25" s="1" t="s">
        <v>20</v>
      </c>
      <c r="B25" s="2"/>
      <c r="C25" s="1" t="str">
        <f>IF(C$12&lt;&gt;"",IF(NOT(ISBLANK([1]MINDS!C$41)),[1]MINDS!C$41,""),"")</f>
        <v>https://object.cscs.ch/v1/AUTH_63ea6845b1d34ad7a43c8158d9572867/Cherubini_RUP_T.1.1.6_nar032/hbp-00015</v>
      </c>
      <c r="D25" s="1" t="str">
        <f>IF(D$12&lt;&gt;"",IF(NOT(ISBLANK([1]MINDS!D$41)),[1]MINDS!D$41,""),"")</f>
        <v/>
      </c>
    </row>
    <row r="26" spans="1:4" x14ac:dyDescent="0.2">
      <c r="A26" s="1" t="s">
        <v>21</v>
      </c>
      <c r="B26" s="2"/>
    </row>
    <row r="27" spans="1:4" x14ac:dyDescent="0.2">
      <c r="A27" s="1" t="s">
        <v>22</v>
      </c>
      <c r="B27" s="2"/>
    </row>
    <row r="28" spans="1:4" x14ac:dyDescent="0.2">
      <c r="A28" s="1" t="s">
        <v>7</v>
      </c>
      <c r="B28" s="2"/>
      <c r="C28" s="1" t="str">
        <f>IF(C$12&lt;&gt;"",IF(NOT(ISBLANK([1]MINDS!C$17)),[1]MINDS!C$17,""),"")</f>
        <v>Action potential dependent sIPSCs - from juvenile (P21-30) C57Bl6/J male mice</v>
      </c>
      <c r="D28" s="1" t="str">
        <f>IF(D$12&lt;&gt;"",IF(NOT(ISBLANK([1]MINDS!D$17)),[1]MINDS!D$17,""),"")</f>
        <v/>
      </c>
    </row>
    <row r="29" spans="1:4" x14ac:dyDescent="0.2">
      <c r="A29" s="1" t="s">
        <v>23</v>
      </c>
      <c r="B29" s="2"/>
    </row>
    <row r="30" spans="1:4" x14ac:dyDescent="0.2">
      <c r="B30" s="2"/>
    </row>
    <row r="31" spans="1:4" x14ac:dyDescent="0.2">
      <c r="A31" s="3" t="s">
        <v>9</v>
      </c>
      <c r="B31" s="2">
        <v>1</v>
      </c>
    </row>
    <row r="32" spans="1:4" x14ac:dyDescent="0.2">
      <c r="A32" s="1" t="str">
        <f>A31&amp;"ID"</f>
        <v>SpecimenGroupID</v>
      </c>
      <c r="B32" s="2"/>
      <c r="C32" s="1" t="str">
        <f>IF(NOT(ISBLANK([1]MINDS!C$30)),[1]MINDS!C$30,"")</f>
        <v>hbp-00015_sIPSCs_Specimen</v>
      </c>
      <c r="D32" s="1" t="str">
        <f>IF(NOT(ISBLANK([1]MINDS!D$30)),[1]MINDS!D$30,"")</f>
        <v/>
      </c>
    </row>
    <row r="33" spans="1:22" x14ac:dyDescent="0.2">
      <c r="B33" s="2"/>
    </row>
    <row r="34" spans="1:22" x14ac:dyDescent="0.2">
      <c r="A34" s="3" t="s">
        <v>24</v>
      </c>
      <c r="B34" s="2">
        <v>3</v>
      </c>
    </row>
    <row r="35" spans="1:22" x14ac:dyDescent="0.2">
      <c r="A35" s="1" t="s">
        <v>25</v>
      </c>
      <c r="B35" s="2"/>
      <c r="C35" s="1" t="str">
        <f>IF(NOT(ISBLANK([1]MINDS!C$45)),[1]MINDS!C$45,"")</f>
        <v>Sub1</v>
      </c>
      <c r="D35" s="1" t="str">
        <f>IF(NOT(ISBLANK([1]MINDS!D$45)),[1]MINDS!D$45,"")</f>
        <v/>
      </c>
      <c r="E35" s="1" t="str">
        <f>IF(NOT(ISBLANK([1]MINDS!E$45)),[1]MINDS!E$45,"")</f>
        <v>Sub2</v>
      </c>
      <c r="F35" s="1" t="str">
        <f>IF(NOT(ISBLANK([1]MINDS!F$45)),[1]MINDS!F$45,"")</f>
        <v/>
      </c>
      <c r="G35" s="1" t="str">
        <f>IF(NOT(ISBLANK([1]MINDS!G$45)),[1]MINDS!G$45,"")</f>
        <v>Sub3</v>
      </c>
      <c r="H35" s="1" t="str">
        <f>IF(NOT(ISBLANK([1]MINDS!H$45)),[1]MINDS!H$45,"")</f>
        <v/>
      </c>
    </row>
    <row r="36" spans="1:22" x14ac:dyDescent="0.2">
      <c r="A36" s="1" t="s">
        <v>26</v>
      </c>
      <c r="B36" s="2"/>
      <c r="C36" s="1" t="str">
        <f>IF(C$35&lt;&gt;"",IF(NOT(ISBLANK([1]MINDS!C$46)),[1]MINDS!C$46,""),"")</f>
        <v>Mus musculus</v>
      </c>
      <c r="D36" s="1" t="str">
        <f>IF(D$35&lt;&gt;"",IF(NOT(ISBLANK([1]MINDS!D$46)),[1]MINDS!D$46,""),"")</f>
        <v/>
      </c>
      <c r="E36" s="1" t="str">
        <f>IF(E$35&lt;&gt;"",IF(NOT(ISBLANK([1]MINDS!E$46)),[1]MINDS!E$46,""),"")</f>
        <v>Mus musculus</v>
      </c>
      <c r="F36" s="1" t="str">
        <f>IF(F$35&lt;&gt;"",IF(NOT(ISBLANK([1]MINDS!F$46)),[1]MINDS!F$46,""),"")</f>
        <v/>
      </c>
      <c r="G36" s="1" t="str">
        <f>IF(G$35&lt;&gt;"",IF(NOT(ISBLANK([1]MINDS!G$46)),[1]MINDS!G$46,""),"")</f>
        <v>Mus musculus</v>
      </c>
      <c r="H36" s="1" t="str">
        <f>IF(H$35&lt;&gt;"",IF(NOT(ISBLANK([1]MINDS!H$46)),[1]MINDS!H$46,""),"")</f>
        <v/>
      </c>
    </row>
    <row r="37" spans="1:22" x14ac:dyDescent="0.2">
      <c r="A37" s="1" t="s">
        <v>27</v>
      </c>
      <c r="B37" s="2"/>
      <c r="C37" s="1" t="str">
        <f>IF(C$35&lt;&gt;"",IF(NOT(ISBLANK([1]MINDS!C$47)),[1]MINDS!C$47,""),"")</f>
        <v>C57BL/6J</v>
      </c>
      <c r="D37" s="1" t="str">
        <f>IF(D$35&lt;&gt;"",IF(NOT(ISBLANK([1]MINDS!D$47)),[1]MINDS!D$47,""),"")</f>
        <v/>
      </c>
      <c r="E37" s="1" t="str">
        <f>IF(E$35&lt;&gt;"",IF(NOT(ISBLANK([1]MINDS!E$47)),[1]MINDS!E$47,""),"")</f>
        <v>C57BL/6J</v>
      </c>
      <c r="F37" s="1" t="str">
        <f>IF(F$35&lt;&gt;"",IF(NOT(ISBLANK([1]MINDS!F$47)),[1]MINDS!F$47,""),"")</f>
        <v/>
      </c>
      <c r="G37" s="1" t="str">
        <f>IF(G$35&lt;&gt;"",IF(NOT(ISBLANK([1]MINDS!G$47)),[1]MINDS!G$47,""),"")</f>
        <v>C57BL/6J</v>
      </c>
      <c r="H37" s="1" t="str">
        <f>IF(H$35&lt;&gt;"",IF(NOT(ISBLANK([1]MINDS!H$47)),[1]MINDS!H$47,""),"")</f>
        <v/>
      </c>
    </row>
    <row r="38" spans="1:22" x14ac:dyDescent="0.2">
      <c r="A38" s="1" t="s">
        <v>28</v>
      </c>
      <c r="B38" s="2"/>
      <c r="C38" s="1" t="str">
        <f>IF(C$35&lt;&gt;"",IF(NOT(ISBLANK([1]MINDS!C$48)),[1]MINDS!C$48,""),"")</f>
        <v>Wild type</v>
      </c>
      <c r="D38" s="1" t="str">
        <f>IF(D$35&lt;&gt;"",IF(NOT(ISBLANK([1]MINDS!D$48)),[1]MINDS!D$48,""),"")</f>
        <v/>
      </c>
      <c r="E38" s="1" t="str">
        <f>IF(E$35&lt;&gt;"",IF(NOT(ISBLANK([1]MINDS!E$48)),[1]MINDS!E$48,""),"")</f>
        <v>Wild type</v>
      </c>
      <c r="F38" s="1" t="str">
        <f>IF(F$35&lt;&gt;"",IF(NOT(ISBLANK([1]MINDS!F$48)),[1]MINDS!F$48,""),"")</f>
        <v/>
      </c>
      <c r="G38" s="1" t="str">
        <f>IF(G$35&lt;&gt;"",IF(NOT(ISBLANK([1]MINDS!G$48)),[1]MINDS!G$48,""),"")</f>
        <v>Wild type</v>
      </c>
      <c r="H38" s="1" t="str">
        <f>IF(H$35&lt;&gt;"",IF(NOT(ISBLANK([1]MINDS!H$48)),[1]MINDS!H$48,""),"")</f>
        <v/>
      </c>
    </row>
    <row r="39" spans="1:22" x14ac:dyDescent="0.2">
      <c r="A39" s="1" t="s">
        <v>29</v>
      </c>
      <c r="B39" s="2"/>
      <c r="C39" s="1" t="str">
        <f>IF(C$35&lt;&gt;"",IF(NOT(ISBLANK([1]MINDS!C$49)),[1]MINDS!C$49,""),"")</f>
        <v>Male</v>
      </c>
      <c r="D39" s="1" t="str">
        <f>IF(D$35&lt;&gt;"",IF(NOT(ISBLANK([1]MINDS!D$49)),[1]MINDS!D$49,""),"")</f>
        <v/>
      </c>
      <c r="E39" s="1" t="str">
        <f>IF(E$35&lt;&gt;"",IF(NOT(ISBLANK([1]MINDS!E$49)),[1]MINDS!E$49,""),"")</f>
        <v>Male</v>
      </c>
      <c r="F39" s="1" t="str">
        <f>IF(F$35&lt;&gt;"",IF(NOT(ISBLANK([1]MINDS!F$49)),[1]MINDS!F$49,""),"")</f>
        <v/>
      </c>
      <c r="G39" s="1" t="str">
        <f>IF(G$35&lt;&gt;"",IF(NOT(ISBLANK([1]MINDS!G$49)),[1]MINDS!G$49,""),"")</f>
        <v>Male</v>
      </c>
      <c r="H39" s="1" t="str">
        <f>IF(H$35&lt;&gt;"",IF(NOT(ISBLANK([1]MINDS!H$49)),[1]MINDS!H$49,""),"")</f>
        <v/>
      </c>
    </row>
    <row r="40" spans="1:22" x14ac:dyDescent="0.2">
      <c r="A40" s="1" t="s">
        <v>30</v>
      </c>
      <c r="B40" s="2"/>
      <c r="C40" s="1" t="str">
        <f>IF(C$35&lt;&gt;"",IF(NOT(ISBLANK([1]MINDS!C$50)),[1]MINDS!C$50,""),"")</f>
        <v/>
      </c>
      <c r="D40" s="1" t="str">
        <f>IF(D$35&lt;&gt;"",IF(NOT(ISBLANK([1]MINDS!D$50)),[1]MINDS!D$50,""),"")</f>
        <v/>
      </c>
      <c r="E40" s="1" t="str">
        <f>IF(E$35&lt;&gt;"",IF(NOT(ISBLANK([1]MINDS!E$50)),[1]MINDS!E$50,""),"")</f>
        <v/>
      </c>
      <c r="F40" s="1" t="str">
        <f>IF(F$35&lt;&gt;"",IF(NOT(ISBLANK([1]MINDS!F$50)),[1]MINDS!F$50,""),"")</f>
        <v/>
      </c>
      <c r="G40" s="1" t="str">
        <f>IF(G$35&lt;&gt;"",IF(NOT(ISBLANK([1]MINDS!G$50)),[1]MINDS!G$50,""),"")</f>
        <v/>
      </c>
      <c r="H40" s="1" t="str">
        <f>IF(H$35&lt;&gt;"",IF(NOT(ISBLANK([1]MINDS!H$50)),[1]MINDS!H$50,""),"")</f>
        <v/>
      </c>
    </row>
    <row r="41" spans="1:22" x14ac:dyDescent="0.2">
      <c r="A41" s="1" t="s">
        <v>31</v>
      </c>
      <c r="B41" s="2"/>
      <c r="C41" s="1" t="str">
        <f>IF(C$35&lt;&gt;"",IF(NOT(ISBLANK([1]MINDS!C$51)),[1]MINDS!C$51,""),"")</f>
        <v>21 - 30 P</v>
      </c>
      <c r="D41" s="1" t="str">
        <f>IF(D$35&lt;&gt;"",IF(NOT(ISBLANK([1]MINDS!D$51)),[1]MINDS!D$51,""),"")</f>
        <v/>
      </c>
      <c r="E41" s="1" t="str">
        <f>IF(E$35&lt;&gt;"",IF(NOT(ISBLANK([1]MINDS!E$51)),[1]MINDS!E$51,""),"")</f>
        <v>21 - 30 P</v>
      </c>
      <c r="F41" s="1" t="str">
        <f>IF(F$35&lt;&gt;"",IF(NOT(ISBLANK([1]MINDS!F$51)),[1]MINDS!F$51,""),"")</f>
        <v/>
      </c>
      <c r="G41" s="1" t="str">
        <f>IF(G$35&lt;&gt;"",IF(NOT(ISBLANK([1]MINDS!G$51)),[1]MINDS!G$51,""),"")</f>
        <v>21 - 30 P</v>
      </c>
      <c r="H41" s="1" t="str">
        <f>IF(H$35&lt;&gt;"",IF(NOT(ISBLANK([1]MINDS!H$51)),[1]MINDS!H$51,""),"")</f>
        <v/>
      </c>
    </row>
    <row r="42" spans="1:22" x14ac:dyDescent="0.2">
      <c r="A42" s="1" t="s">
        <v>32</v>
      </c>
      <c r="B42" s="2"/>
      <c r="C42" s="1" t="str">
        <f>IF(C$35&lt;&gt;"",IF(NOT(ISBLANK([1]MINDS!C$52)),[1]MINDS!C$52,""),"")</f>
        <v>Juvenile</v>
      </c>
      <c r="D42" s="1" t="str">
        <f>IF(D$35&lt;&gt;"",IF(NOT(ISBLANK([1]MINDS!D$52)),[1]MINDS!D$52,""),"")</f>
        <v/>
      </c>
      <c r="E42" s="1" t="str">
        <f>IF(E$35&lt;&gt;"",IF(NOT(ISBLANK([1]MINDS!E$52)),[1]MINDS!E$52,""),"")</f>
        <v>Juvenile</v>
      </c>
      <c r="F42" s="1" t="str">
        <f>IF(F$35&lt;&gt;"",IF(NOT(ISBLANK([1]MINDS!F$52)),[1]MINDS!F$52,""),"")</f>
        <v/>
      </c>
      <c r="G42" s="1" t="str">
        <f>IF(G$35&lt;&gt;"",IF(NOT(ISBLANK([1]MINDS!G$52)),[1]MINDS!G$52,""),"")</f>
        <v>Juvenile</v>
      </c>
      <c r="H42" s="1" t="str">
        <f>IF(H$35&lt;&gt;"",IF(NOT(ISBLANK([1]MINDS!H$52)),[1]MINDS!H$52,""),"")</f>
        <v/>
      </c>
    </row>
    <row r="43" spans="1:22" x14ac:dyDescent="0.2">
      <c r="B43" s="2"/>
    </row>
    <row r="44" spans="1:22" x14ac:dyDescent="0.2">
      <c r="A44" s="3" t="s">
        <v>33</v>
      </c>
      <c r="B44" s="2">
        <v>3</v>
      </c>
    </row>
    <row r="45" spans="1:22" x14ac:dyDescent="0.2">
      <c r="A45" s="1" t="s">
        <v>34</v>
      </c>
      <c r="B45" s="2"/>
      <c r="C45" s="1" t="str">
        <f>IF(NOT(ISBLANK([1]MINDS!C$56)),[1]MINDS!C$55&amp;"."&amp;[1]MINDS!C$56,"")</f>
        <v>Sub1.Samp1</v>
      </c>
      <c r="D45" s="1" t="str">
        <f>IF(NOT(ISBLANK([1]MINDS!D$56)),[1]MINDS!D$55&amp;"."&amp;[1]MINDS!D$56,"")</f>
        <v/>
      </c>
      <c r="E45" s="1" t="str">
        <f>IF(NOT(ISBLANK([1]MINDS!E$56)),[1]MINDS!E$55&amp;"."&amp;[1]MINDS!E$56,"")</f>
        <v>Sub2.Samp1</v>
      </c>
      <c r="F45" s="1" t="str">
        <f>IF(NOT(ISBLANK([1]MINDS!F$56)),[1]MINDS!F$55&amp;"."&amp;[1]MINDS!F$56,"")</f>
        <v/>
      </c>
      <c r="G45" s="1" t="str">
        <f>IF(NOT(ISBLANK([1]MINDS!G$56)),[1]MINDS!G$55&amp;"."&amp;[1]MINDS!G$56,"")</f>
        <v>Sub3.Samp1</v>
      </c>
      <c r="H45" s="1" t="str">
        <f>IF(NOT(ISBLANK([1]MINDS!H$56)),[1]MINDS!H$55&amp;"."&amp;[1]MINDS!H$56,"")</f>
        <v/>
      </c>
      <c r="I45" s="1" t="str">
        <f>IF(NOT(ISBLANK([1]MINDS!I$56)),[1]MINDS!I$55&amp;"."&amp;[1]MINDS!I$56,"")</f>
        <v/>
      </c>
      <c r="J45" s="1" t="str">
        <f>IF(NOT(ISBLANK([1]MINDS!J$56)),[1]MINDS!J$55&amp;"."&amp;[1]MINDS!J$56,"")</f>
        <v/>
      </c>
      <c r="K45" s="1" t="str">
        <f>IF(NOT(ISBLANK([1]MINDS!K$56)),[1]MINDS!K$55&amp;"."&amp;[1]MINDS!K$56,"")</f>
        <v/>
      </c>
      <c r="L45" s="1" t="str">
        <f>IF(NOT(ISBLANK([1]MINDS!L$56)),[1]MINDS!L$55&amp;"."&amp;[1]MINDS!L$56,"")</f>
        <v/>
      </c>
      <c r="M45" s="1" t="str">
        <f>IF(NOT(ISBLANK([1]MINDS!M$56)),[1]MINDS!M$55&amp;"."&amp;[1]MINDS!M$56,"")</f>
        <v/>
      </c>
      <c r="N45" s="1" t="str">
        <f>IF(NOT(ISBLANK([1]MINDS!N$56)),[1]MINDS!N$55&amp;"."&amp;[1]MINDS!N$56,"")</f>
        <v/>
      </c>
      <c r="O45" s="1" t="str">
        <f>IF(NOT(ISBLANK([1]MINDS!O$56)),[1]MINDS!O$55&amp;"."&amp;[1]MINDS!O$56,"")</f>
        <v/>
      </c>
      <c r="P45" s="1" t="str">
        <f>IF(NOT(ISBLANK([1]MINDS!P$56)),[1]MINDS!P$55&amp;"."&amp;[1]MINDS!P$56,"")</f>
        <v/>
      </c>
      <c r="Q45" s="1" t="str">
        <f>IF(NOT(ISBLANK([1]MINDS!Q$56)),[1]MINDS!Q$55&amp;"."&amp;[1]MINDS!Q$56,"")</f>
        <v/>
      </c>
      <c r="R45" s="1" t="str">
        <f>IF(NOT(ISBLANK([1]MINDS!R$56)),[1]MINDS!R$55&amp;"."&amp;[1]MINDS!R$56,"")</f>
        <v/>
      </c>
      <c r="S45" s="1" t="str">
        <f>IF(NOT(ISBLANK([1]MINDS!S$56)),[1]MINDS!S$55&amp;"."&amp;[1]MINDS!S$56,"")</f>
        <v/>
      </c>
      <c r="T45" s="1" t="str">
        <f>IF(NOT(ISBLANK([1]MINDS!T$56)),[1]MINDS!T$55&amp;"."&amp;[1]MINDS!T$56,"")</f>
        <v/>
      </c>
      <c r="U45" s="1" t="str">
        <f>IF(NOT(ISBLANK([1]MINDS!U$56)),[1]MINDS!U$55&amp;"."&amp;[1]MINDS!U$56,"")</f>
        <v/>
      </c>
      <c r="V45" s="1" t="str">
        <f>IF(NOT(ISBLANK([1]MINDS!V$56)),[1]MINDS!V$55&amp;"."&amp;[1]MINDS!V$56,"")</f>
        <v/>
      </c>
    </row>
    <row r="46" spans="1:22" x14ac:dyDescent="0.2">
      <c r="A46" s="1" t="s">
        <v>16</v>
      </c>
      <c r="B46" s="2"/>
      <c r="C46" s="1" t="str">
        <f>IF(C$45&lt;&gt;"",$A$51,"")</f>
        <v>Unknown</v>
      </c>
      <c r="D46" s="1" t="str">
        <f t="shared" ref="D46:V46" si="0">IF(D$45&lt;&gt;"",$A$51,"")</f>
        <v/>
      </c>
      <c r="E46" s="1" t="str">
        <f t="shared" si="0"/>
        <v>Unknown</v>
      </c>
      <c r="F46" s="1" t="str">
        <f t="shared" si="0"/>
        <v/>
      </c>
      <c r="G46" s="1" t="str">
        <f t="shared" si="0"/>
        <v>Unknown</v>
      </c>
      <c r="H46" s="1" t="str">
        <f t="shared" si="0"/>
        <v/>
      </c>
      <c r="I46" s="1" t="str">
        <f t="shared" si="0"/>
        <v/>
      </c>
      <c r="J46" s="1" t="str">
        <f t="shared" si="0"/>
        <v/>
      </c>
      <c r="K46" s="1" t="str">
        <f t="shared" si="0"/>
        <v/>
      </c>
      <c r="L46" s="1" t="str">
        <f t="shared" si="0"/>
        <v/>
      </c>
      <c r="M46" s="1" t="str">
        <f t="shared" si="0"/>
        <v/>
      </c>
      <c r="N46" s="1" t="str">
        <f t="shared" si="0"/>
        <v/>
      </c>
      <c r="O46" s="1" t="str">
        <f t="shared" si="0"/>
        <v/>
      </c>
      <c r="P46" s="1" t="str">
        <f t="shared" si="0"/>
        <v/>
      </c>
      <c r="Q46" s="1" t="str">
        <f t="shared" si="0"/>
        <v/>
      </c>
      <c r="R46" s="1" t="str">
        <f t="shared" si="0"/>
        <v/>
      </c>
      <c r="S46" s="1" t="str">
        <f t="shared" si="0"/>
        <v/>
      </c>
      <c r="T46" s="1" t="str">
        <f t="shared" si="0"/>
        <v/>
      </c>
      <c r="U46" s="1" t="str">
        <f t="shared" si="0"/>
        <v/>
      </c>
      <c r="V46" s="1" t="str">
        <f t="shared" si="0"/>
        <v/>
      </c>
    </row>
    <row r="47" spans="1:22" x14ac:dyDescent="0.2">
      <c r="A47" s="1" t="s">
        <v>17</v>
      </c>
      <c r="B47" s="2"/>
      <c r="C47" s="1" t="str">
        <f>IF(C$45&lt;&gt;"",[2]!TEXTJOIN("|",TRUE,[1]MINDS!C$58:C$63),"")</f>
        <v>Hippocampus, CA1</v>
      </c>
      <c r="D47" s="1" t="str">
        <f>IF(D$45&lt;&gt;"",[2]!TEXTJOIN("|",TRUE,[1]MINDS!D$58:D$63),"")</f>
        <v/>
      </c>
      <c r="E47" s="1" t="str">
        <f>IF(E$45&lt;&gt;"",[2]!TEXTJOIN("|",TRUE,[1]MINDS!E$58:E$63),"")</f>
        <v>Hippocampus, CA1</v>
      </c>
      <c r="F47" s="1" t="str">
        <f>IF(F$45&lt;&gt;"",[2]!TEXTJOIN("|",TRUE,[1]MINDS!F$58:F$63),"")</f>
        <v/>
      </c>
      <c r="G47" s="1" t="str">
        <f>IF(G$45&lt;&gt;"",[2]!TEXTJOIN("|",TRUE,[1]MINDS!G$58:G$63),"")</f>
        <v>Hippocampus, CA1</v>
      </c>
      <c r="H47" s="1" t="str">
        <f>IF(H$45&lt;&gt;"",[2]!TEXTJOIN("|",TRUE,[1]MINDS!H$58:H$63),"")</f>
        <v/>
      </c>
      <c r="I47" s="1" t="str">
        <f>IF(I$45&lt;&gt;"",[2]!TEXTJOIN("|",TRUE,[1]MINDS!I$58:I$63),"")</f>
        <v/>
      </c>
      <c r="J47" s="1" t="str">
        <f>IF(J$45&lt;&gt;"",[2]!TEXTJOIN("|",TRUE,[1]MINDS!J$58:J$63),"")</f>
        <v/>
      </c>
      <c r="K47" s="1" t="str">
        <f>IF(K$45&lt;&gt;"",[2]!TEXTJOIN("|",TRUE,[1]MINDS!K$58:K$63),"")</f>
        <v/>
      </c>
      <c r="L47" s="1" t="str">
        <f>IF(L$45&lt;&gt;"",[2]!TEXTJOIN("|",TRUE,[1]MINDS!L$58:L$63),"")</f>
        <v/>
      </c>
      <c r="M47" s="1" t="str">
        <f>IF(M$45&lt;&gt;"",[2]!TEXTJOIN("|",TRUE,[1]MINDS!M$58:M$63),"")</f>
        <v/>
      </c>
      <c r="N47" s="1" t="str">
        <f>IF(N$45&lt;&gt;"",[2]!TEXTJOIN("|",TRUE,[1]MINDS!N$58:N$63),"")</f>
        <v/>
      </c>
      <c r="O47" s="1" t="str">
        <f>IF(O$45&lt;&gt;"",[2]!TEXTJOIN("|",TRUE,[1]MINDS!O$58:O$63),"")</f>
        <v/>
      </c>
      <c r="P47" s="1" t="str">
        <f>IF(P$45&lt;&gt;"",[2]!TEXTJOIN("|",TRUE,[1]MINDS!P$58:P$63),"")</f>
        <v/>
      </c>
      <c r="Q47" s="1" t="str">
        <f>IF(Q$45&lt;&gt;"",[2]!TEXTJOIN("|",TRUE,[1]MINDS!Q$58:Q$63),"")</f>
        <v/>
      </c>
      <c r="R47" s="1" t="str">
        <f>IF(R$45&lt;&gt;"",[2]!TEXTJOIN("|",TRUE,[1]MINDS!R$58:R$63),"")</f>
        <v/>
      </c>
      <c r="S47" s="1" t="str">
        <f>IF(S$45&lt;&gt;"",[2]!TEXTJOIN("|",TRUE,[1]MINDS!S$58:S$63),"")</f>
        <v/>
      </c>
      <c r="T47" s="1" t="str">
        <f>IF(T$45&lt;&gt;"",[2]!TEXTJOIN("|",TRUE,[1]MINDS!T$58:T$63),"")</f>
        <v/>
      </c>
      <c r="U47" s="1" t="str">
        <f>IF(U$45&lt;&gt;"",[2]!TEXTJOIN("|",TRUE,[1]MINDS!U$58:U$63),"")</f>
        <v/>
      </c>
      <c r="V47" s="1" t="str">
        <f>IF(V$45&lt;&gt;"",[2]!TEXTJOIN("|",TRUE,[1]MINDS!V$58:V$63),"")</f>
        <v/>
      </c>
    </row>
    <row r="48" spans="1:22" x14ac:dyDescent="0.2">
      <c r="A48" s="1" t="s">
        <v>4</v>
      </c>
      <c r="B48" s="2"/>
      <c r="C48" s="1" t="str">
        <f>IF(C$45&lt;&gt;"",SUBSTITUTE(SUBSTITUTE([2]!TEXTJOIN("|",TRUE,[1]MINDS!C$67:C$72),"_ ",""),"_",""),"")</f>
        <v>Electrophysiology recording|Voltage clamp recording|Single electrode recording</v>
      </c>
      <c r="D48" s="1" t="str">
        <f>IF(D$45&lt;&gt;"",SUBSTITUTE(SUBSTITUTE([2]!TEXTJOIN("|",TRUE,[1]MINDS!D$67:D$72),"_ ",""),"_",""),"")</f>
        <v/>
      </c>
      <c r="E48" s="1" t="str">
        <f>IF(E$45&lt;&gt;"",SUBSTITUTE(SUBSTITUTE([2]!TEXTJOIN("|",TRUE,[1]MINDS!E$67:E$72),"_ ",""),"_",""),"")</f>
        <v>Electrophysiology recording|Voltage clamp recording|Single electrode recording</v>
      </c>
      <c r="F48" s="1" t="str">
        <f>IF(F$45&lt;&gt;"",SUBSTITUTE(SUBSTITUTE([2]!TEXTJOIN("|",TRUE,[1]MINDS!F$67:F$72),"_ ",""),"_",""),"")</f>
        <v/>
      </c>
      <c r="G48" s="1" t="str">
        <f>IF(G$45&lt;&gt;"",SUBSTITUTE(SUBSTITUTE([2]!TEXTJOIN("|",TRUE,[1]MINDS!G$67:G$72),"_ ",""),"_",""),"")</f>
        <v>Electrophysiology recording|Voltage clamp recording|Single electrode recording</v>
      </c>
      <c r="H48" s="1" t="str">
        <f>IF(H$45&lt;&gt;"",SUBSTITUTE(SUBSTITUTE([2]!TEXTJOIN("|",TRUE,[1]MINDS!H$67:H$72),"_ ",""),"_",""),"")</f>
        <v/>
      </c>
      <c r="I48" s="1" t="str">
        <f>IF(I$45&lt;&gt;"",SUBSTITUTE(SUBSTITUTE([2]!TEXTJOIN("|",TRUE,[1]MINDS!I$67:I$72),"_ ",""),"_",""),"")</f>
        <v/>
      </c>
      <c r="J48" s="1" t="str">
        <f>IF(J$45&lt;&gt;"",SUBSTITUTE(SUBSTITUTE([2]!TEXTJOIN("|",TRUE,[1]MINDS!J$67:J$72),"_ ",""),"_",""),"")</f>
        <v/>
      </c>
      <c r="K48" s="1" t="str">
        <f>IF(K$45&lt;&gt;"",SUBSTITUTE(SUBSTITUTE([2]!TEXTJOIN("|",TRUE,[1]MINDS!K$67:K$72),"_ ",""),"_",""),"")</f>
        <v/>
      </c>
      <c r="L48" s="1" t="str">
        <f>IF(L$45&lt;&gt;"",SUBSTITUTE(SUBSTITUTE([2]!TEXTJOIN("|",TRUE,[1]MINDS!L$67:L$72),"_ ",""),"_",""),"")</f>
        <v/>
      </c>
      <c r="M48" s="1" t="str">
        <f>IF(M$45&lt;&gt;"",SUBSTITUTE(SUBSTITUTE([2]!TEXTJOIN("|",TRUE,[1]MINDS!M$67:M$72),"_ ",""),"_",""),"")</f>
        <v/>
      </c>
      <c r="N48" s="1" t="str">
        <f>IF(N$45&lt;&gt;"",SUBSTITUTE(SUBSTITUTE([2]!TEXTJOIN("|",TRUE,[1]MINDS!N$67:N$72),"_ ",""),"_",""),"")</f>
        <v/>
      </c>
      <c r="O48" s="1" t="str">
        <f>IF(O$45&lt;&gt;"",SUBSTITUTE(SUBSTITUTE([2]!TEXTJOIN("|",TRUE,[1]MINDS!O$67:O$72),"_ ",""),"_",""),"")</f>
        <v/>
      </c>
      <c r="P48" s="1" t="str">
        <f>IF(P$45&lt;&gt;"",SUBSTITUTE(SUBSTITUTE([2]!TEXTJOIN("|",TRUE,[1]MINDS!P$67:P$72),"_ ",""),"_",""),"")</f>
        <v/>
      </c>
      <c r="Q48" s="1" t="str">
        <f>IF(Q$45&lt;&gt;"",SUBSTITUTE(SUBSTITUTE([2]!TEXTJOIN("|",TRUE,[1]MINDS!Q$67:Q$72),"_ ",""),"_",""),"")</f>
        <v/>
      </c>
      <c r="R48" s="1" t="str">
        <f>IF(R$45&lt;&gt;"",SUBSTITUTE(SUBSTITUTE([2]!TEXTJOIN("|",TRUE,[1]MINDS!R$67:R$72),"_ ",""),"_",""),"")</f>
        <v/>
      </c>
      <c r="S48" s="1" t="str">
        <f>IF(S$45&lt;&gt;"",SUBSTITUTE(SUBSTITUTE([2]!TEXTJOIN("|",TRUE,[1]MINDS!S$67:S$72),"_ ",""),"_",""),"")</f>
        <v/>
      </c>
      <c r="T48" s="1" t="str">
        <f>IF(T$45&lt;&gt;"",SUBSTITUTE(SUBSTITUTE([2]!TEXTJOIN("|",TRUE,[1]MINDS!T$67:T$72),"_ ",""),"_",""),"")</f>
        <v/>
      </c>
      <c r="U48" s="1" t="str">
        <f>IF(U$45&lt;&gt;"",SUBSTITUTE(SUBSTITUTE([2]!TEXTJOIN("|",TRUE,[1]MINDS!U$67:U$72),"_ ",""),"_",""),"")</f>
        <v/>
      </c>
      <c r="V48" s="1" t="str">
        <f>IF(V$45&lt;&gt;"",SUBSTITUTE(SUBSTITUTE([2]!TEXTJOIN("|",TRUE,[1]MINDS!V$67:V$72),"_ ",""),"_",""),"")</f>
        <v/>
      </c>
    </row>
    <row r="49" spans="1:22" x14ac:dyDescent="0.2">
      <c r="A49" s="1" t="s">
        <v>23</v>
      </c>
      <c r="B49" s="2"/>
      <c r="C49" s="1" t="str">
        <f>IF(C$45&lt;&gt;"",IF(NOT(ISBLANK([1]MINDS!C$64)),[1]MINDS!C$64,""),"")</f>
        <v>https://object.cscs.ch/v1/AUTH_63ea6845b1d34ad7a43c8158d9572867/Cherubini_RUP_T.1.1.6_nar032/hbp-00015/sIPSCs/Sub1/Samp1</v>
      </c>
      <c r="D49" s="1" t="str">
        <f>IF(D$45&lt;&gt;"",IF(NOT(ISBLANK([1]MINDS!D$64)),[1]MINDS!D$64,""),"")</f>
        <v/>
      </c>
      <c r="E49" s="1" t="str">
        <f>IF(E$45&lt;&gt;"",IF(NOT(ISBLANK([1]MINDS!E$64)),[1]MINDS!E$64,""),"")</f>
        <v>https://object.cscs.ch/v1/AUTH_63ea6845b1d34ad7a43c8158d9572867/Cherubini_RUP_T.1.1.6_nar032/hbp-00015/sIPSCs/Sub2/Samp1</v>
      </c>
      <c r="F49" s="1" t="str">
        <f>IF(F$45&lt;&gt;"",IF(NOT(ISBLANK([1]MINDS!F$64)),[1]MINDS!F$64,""),"")</f>
        <v/>
      </c>
      <c r="G49" s="1" t="str">
        <f>IF(G$45&lt;&gt;"",IF(NOT(ISBLANK([1]MINDS!G$64)),[1]MINDS!G$64,""),"")</f>
        <v>https://object.cscs.ch/v1/AUTH_63ea6845b1d34ad7a43c8158d9572867/Cherubini_RUP_T.1.1.6_nar032/hbp-00015/sIPSCs/Sub3/Samp1</v>
      </c>
      <c r="H49" s="1" t="str">
        <f>IF(H$45&lt;&gt;"",IF(NOT(ISBLANK([1]MINDS!H$64)),[1]MINDS!H$64,""),"")</f>
        <v/>
      </c>
      <c r="I49" s="1" t="str">
        <f>IF(I$45&lt;&gt;"",IF(NOT(ISBLANK([1]MINDS!I$64)),[1]MINDS!I$64,""),"")</f>
        <v/>
      </c>
      <c r="J49" s="1" t="str">
        <f>IF(J$45&lt;&gt;"",IF(NOT(ISBLANK([1]MINDS!J$64)),[1]MINDS!J$64,""),"")</f>
        <v/>
      </c>
      <c r="K49" s="1" t="str">
        <f>IF(K$45&lt;&gt;"",IF(NOT(ISBLANK([1]MINDS!K$64)),[1]MINDS!K$64,""),"")</f>
        <v/>
      </c>
      <c r="L49" s="1" t="str">
        <f>IF(L$45&lt;&gt;"",IF(NOT(ISBLANK([1]MINDS!L$64)),[1]MINDS!L$64,""),"")</f>
        <v/>
      </c>
      <c r="M49" s="1" t="str">
        <f>IF(M$45&lt;&gt;"",IF(NOT(ISBLANK([1]MINDS!M$64)),[1]MINDS!M$64,""),"")</f>
        <v/>
      </c>
      <c r="N49" s="1" t="str">
        <f>IF(N$45&lt;&gt;"",IF(NOT(ISBLANK([1]MINDS!N$64)),[1]MINDS!N$64,""),"")</f>
        <v/>
      </c>
      <c r="O49" s="1" t="str">
        <f>IF(O$45&lt;&gt;"",IF(NOT(ISBLANK([1]MINDS!O$64)),[1]MINDS!O$64,""),"")</f>
        <v/>
      </c>
      <c r="P49" s="1" t="str">
        <f>IF(P$45&lt;&gt;"",IF(NOT(ISBLANK([1]MINDS!P$64)),[1]MINDS!P$64,""),"")</f>
        <v/>
      </c>
      <c r="Q49" s="1" t="str">
        <f>IF(Q$45&lt;&gt;"",IF(NOT(ISBLANK([1]MINDS!Q$64)),[1]MINDS!Q$64,""),"")</f>
        <v/>
      </c>
      <c r="R49" s="1" t="str">
        <f>IF(R$45&lt;&gt;"",IF(NOT(ISBLANK([1]MINDS!R$64)),[1]MINDS!R$64,""),"")</f>
        <v/>
      </c>
      <c r="S49" s="1" t="str">
        <f>IF(S$45&lt;&gt;"",IF(NOT(ISBLANK([1]MINDS!S$64)),[1]MINDS!S$64,""),"")</f>
        <v/>
      </c>
      <c r="T49" s="1" t="str">
        <f>IF(T$45&lt;&gt;"",IF(NOT(ISBLANK([1]MINDS!T$64)),[1]MINDS!T$64,""),"")</f>
        <v/>
      </c>
      <c r="U49" s="1" t="str">
        <f>IF(U$45&lt;&gt;"",IF(NOT(ISBLANK([1]MINDS!U$64)),[1]MINDS!U$64,""),"")</f>
        <v/>
      </c>
      <c r="V49" s="1" t="str">
        <f>IF(V$45&lt;&gt;"",IF(NOT(ISBLANK([1]MINDS!V$64)),[1]MINDS!V$64,""),"")</f>
        <v/>
      </c>
    </row>
    <row r="51" spans="1:22" x14ac:dyDescent="0.2">
      <c r="A51" s="1" t="s">
        <v>35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DataWorkbench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Bell Simon Douglas</dc:creator>
  <cp:lastModifiedBy>Bell Simon Douglas</cp:lastModifiedBy>
  <dcterms:created xsi:type="dcterms:W3CDTF">2018-05-01T08:14:51Z</dcterms:created>
  <dcterms:modified xsi:type="dcterms:W3CDTF">2018-05-01T08:27:30Z</dcterms:modified>
</cp:coreProperties>
</file>