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/>
  </bookViews>
  <sheets>
    <sheet name="DataWorkbench" sheetId="2" r:id="rId1"/>
    <sheet name="MINDS" sheetId="3" r:id="rId2"/>
  </sheets>
  <definedNames>
    <definedName name="ActivityCount" localSheetId="0">DataWorkbench!$B$2</definedName>
    <definedName name="ComponentID" localSheetId="0">DataWorkbench!$A$52</definedName>
    <definedName name="DatasetCount" localSheetId="0">DataWorkbench!$B$11</definedName>
    <definedName name="SampleCount" localSheetId="0">DataWorkbench!$B$44</definedName>
    <definedName name="SpecimenGroupCount" localSheetId="0">DataWorkbench!$B$31</definedName>
    <definedName name="SubjectCount" localSheetId="0">DataWorkbench!$B$34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C46" i="2" l="1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52" i="2"/>
  <c r="C32" i="2" l="1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D3" i="2" l="1"/>
  <c r="E3" i="2"/>
  <c r="F3" i="2"/>
  <c r="G3" i="2"/>
  <c r="G7" i="2" s="1"/>
  <c r="H3" i="2"/>
  <c r="I3" i="2"/>
  <c r="J3" i="2"/>
  <c r="K3" i="2"/>
  <c r="K7" i="2" s="1"/>
  <c r="L3" i="2"/>
  <c r="M3" i="2"/>
  <c r="N3" i="2"/>
  <c r="O3" i="2"/>
  <c r="O7" i="2" s="1"/>
  <c r="P3" i="2"/>
  <c r="Q3" i="2"/>
  <c r="R3" i="2"/>
  <c r="S3" i="2"/>
  <c r="S7" i="2" s="1"/>
  <c r="T3" i="2"/>
  <c r="U3" i="2"/>
  <c r="V3" i="2"/>
  <c r="W3" i="2"/>
  <c r="W7" i="2" s="1"/>
  <c r="X3" i="2"/>
  <c r="Y3" i="2"/>
  <c r="Z3" i="2"/>
  <c r="AA3" i="2"/>
  <c r="AA7" i="2" s="1"/>
  <c r="AB3" i="2"/>
  <c r="AC3" i="2"/>
  <c r="AD3" i="2"/>
  <c r="AE3" i="2"/>
  <c r="AE7" i="2" s="1"/>
  <c r="AF3" i="2"/>
  <c r="AG3" i="2"/>
  <c r="AH3" i="2"/>
  <c r="D4" i="2"/>
  <c r="E4" i="2"/>
  <c r="F4" i="2"/>
  <c r="H4" i="2"/>
  <c r="I4" i="2"/>
  <c r="J4" i="2"/>
  <c r="L4" i="2"/>
  <c r="M4" i="2"/>
  <c r="N4" i="2"/>
  <c r="P4" i="2"/>
  <c r="Q4" i="2"/>
  <c r="R4" i="2"/>
  <c r="T4" i="2"/>
  <c r="U4" i="2"/>
  <c r="V4" i="2"/>
  <c r="X4" i="2"/>
  <c r="Y4" i="2"/>
  <c r="Z4" i="2"/>
  <c r="AB4" i="2"/>
  <c r="AC4" i="2"/>
  <c r="AD4" i="2"/>
  <c r="AF4" i="2"/>
  <c r="AG4" i="2"/>
  <c r="AH4" i="2"/>
  <c r="D5" i="2"/>
  <c r="E5" i="2"/>
  <c r="F5" i="2"/>
  <c r="H5" i="2"/>
  <c r="I5" i="2"/>
  <c r="J5" i="2"/>
  <c r="L5" i="2"/>
  <c r="M5" i="2"/>
  <c r="N5" i="2"/>
  <c r="P5" i="2"/>
  <c r="Q5" i="2"/>
  <c r="R5" i="2"/>
  <c r="T5" i="2"/>
  <c r="U5" i="2"/>
  <c r="V5" i="2"/>
  <c r="X5" i="2"/>
  <c r="Y5" i="2"/>
  <c r="Z5" i="2"/>
  <c r="AB5" i="2"/>
  <c r="AC5" i="2"/>
  <c r="AD5" i="2"/>
  <c r="AF5" i="2"/>
  <c r="AG5" i="2"/>
  <c r="AH5" i="2"/>
  <c r="D7" i="2"/>
  <c r="E7" i="2"/>
  <c r="F7" i="2"/>
  <c r="H7" i="2"/>
  <c r="I7" i="2"/>
  <c r="J7" i="2"/>
  <c r="L7" i="2"/>
  <c r="M7" i="2"/>
  <c r="N7" i="2"/>
  <c r="P7" i="2"/>
  <c r="Q7" i="2"/>
  <c r="R7" i="2"/>
  <c r="T7" i="2"/>
  <c r="U7" i="2"/>
  <c r="V7" i="2"/>
  <c r="X7" i="2"/>
  <c r="Y7" i="2"/>
  <c r="Z7" i="2"/>
  <c r="AB7" i="2"/>
  <c r="AC7" i="2"/>
  <c r="AD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D12" i="2"/>
  <c r="E12" i="2"/>
  <c r="E15" i="2" s="1"/>
  <c r="F12" i="2"/>
  <c r="G12" i="2"/>
  <c r="G13" i="2" s="1"/>
  <c r="H12" i="2"/>
  <c r="I12" i="2"/>
  <c r="I15" i="2" s="1"/>
  <c r="J12" i="2"/>
  <c r="K12" i="2"/>
  <c r="K13" i="2" s="1"/>
  <c r="L12" i="2"/>
  <c r="M12" i="2"/>
  <c r="M15" i="2" s="1"/>
  <c r="N12" i="2"/>
  <c r="O12" i="2"/>
  <c r="O13" i="2" s="1"/>
  <c r="P12" i="2"/>
  <c r="Q12" i="2"/>
  <c r="Q15" i="2" s="1"/>
  <c r="R12" i="2"/>
  <c r="S12" i="2"/>
  <c r="S13" i="2" s="1"/>
  <c r="T12" i="2"/>
  <c r="U12" i="2"/>
  <c r="U15" i="2" s="1"/>
  <c r="V12" i="2"/>
  <c r="W12" i="2"/>
  <c r="W13" i="2" s="1"/>
  <c r="X12" i="2"/>
  <c r="Y12" i="2"/>
  <c r="Y15" i="2" s="1"/>
  <c r="Z12" i="2"/>
  <c r="AA12" i="2"/>
  <c r="AA13" i="2" s="1"/>
  <c r="AB12" i="2"/>
  <c r="AC12" i="2"/>
  <c r="AC15" i="2" s="1"/>
  <c r="AD12" i="2"/>
  <c r="AE12" i="2"/>
  <c r="AE13" i="2" s="1"/>
  <c r="AF12" i="2"/>
  <c r="AG12" i="2"/>
  <c r="AG15" i="2" s="1"/>
  <c r="AH12" i="2"/>
  <c r="D13" i="2"/>
  <c r="F13" i="2"/>
  <c r="H13" i="2"/>
  <c r="J13" i="2"/>
  <c r="L13" i="2"/>
  <c r="N13" i="2"/>
  <c r="P13" i="2"/>
  <c r="R13" i="2"/>
  <c r="T13" i="2"/>
  <c r="V13" i="2"/>
  <c r="X13" i="2"/>
  <c r="Z13" i="2"/>
  <c r="AB13" i="2"/>
  <c r="AD13" i="2"/>
  <c r="AF13" i="2"/>
  <c r="AH13" i="2"/>
  <c r="D14" i="2"/>
  <c r="F14" i="2"/>
  <c r="G14" i="2"/>
  <c r="H14" i="2"/>
  <c r="J14" i="2"/>
  <c r="K14" i="2"/>
  <c r="L14" i="2"/>
  <c r="N14" i="2"/>
  <c r="O14" i="2"/>
  <c r="P14" i="2"/>
  <c r="R14" i="2"/>
  <c r="S14" i="2"/>
  <c r="T14" i="2"/>
  <c r="V14" i="2"/>
  <c r="W14" i="2"/>
  <c r="X14" i="2"/>
  <c r="Z14" i="2"/>
  <c r="AA14" i="2"/>
  <c r="AB14" i="2"/>
  <c r="AD14" i="2"/>
  <c r="AE14" i="2"/>
  <c r="AF14" i="2"/>
  <c r="AH14" i="2"/>
  <c r="D15" i="2"/>
  <c r="F15" i="2"/>
  <c r="G15" i="2"/>
  <c r="H15" i="2"/>
  <c r="J15" i="2"/>
  <c r="K15" i="2"/>
  <c r="L15" i="2"/>
  <c r="N15" i="2"/>
  <c r="O15" i="2"/>
  <c r="P15" i="2"/>
  <c r="R15" i="2"/>
  <c r="S15" i="2"/>
  <c r="T15" i="2"/>
  <c r="V15" i="2"/>
  <c r="W15" i="2"/>
  <c r="X15" i="2"/>
  <c r="Z15" i="2"/>
  <c r="AA15" i="2"/>
  <c r="AB15" i="2"/>
  <c r="AD15" i="2"/>
  <c r="AE15" i="2"/>
  <c r="AF15" i="2"/>
  <c r="AH15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D18" i="2"/>
  <c r="F18" i="2"/>
  <c r="G18" i="2"/>
  <c r="H18" i="2"/>
  <c r="J18" i="2"/>
  <c r="K18" i="2"/>
  <c r="L18" i="2"/>
  <c r="N18" i="2"/>
  <c r="O18" i="2"/>
  <c r="P18" i="2"/>
  <c r="R18" i="2"/>
  <c r="S18" i="2"/>
  <c r="T18" i="2"/>
  <c r="V18" i="2"/>
  <c r="W18" i="2"/>
  <c r="X18" i="2"/>
  <c r="Z18" i="2"/>
  <c r="AA18" i="2"/>
  <c r="AB18" i="2"/>
  <c r="AD18" i="2"/>
  <c r="AE18" i="2"/>
  <c r="AF18" i="2"/>
  <c r="AH18" i="2"/>
  <c r="D20" i="2"/>
  <c r="F20" i="2"/>
  <c r="G20" i="2"/>
  <c r="H20" i="2"/>
  <c r="J20" i="2"/>
  <c r="K20" i="2"/>
  <c r="L20" i="2"/>
  <c r="N20" i="2"/>
  <c r="O20" i="2"/>
  <c r="P20" i="2"/>
  <c r="R20" i="2"/>
  <c r="S20" i="2"/>
  <c r="T20" i="2"/>
  <c r="V20" i="2"/>
  <c r="W20" i="2"/>
  <c r="X20" i="2"/>
  <c r="Z20" i="2"/>
  <c r="AA20" i="2"/>
  <c r="AB20" i="2"/>
  <c r="AD20" i="2"/>
  <c r="AE20" i="2"/>
  <c r="AF20" i="2"/>
  <c r="AH20" i="2"/>
  <c r="D23" i="2"/>
  <c r="F23" i="2"/>
  <c r="G23" i="2"/>
  <c r="H23" i="2"/>
  <c r="J23" i="2"/>
  <c r="K23" i="2"/>
  <c r="L23" i="2"/>
  <c r="N23" i="2"/>
  <c r="O23" i="2"/>
  <c r="P23" i="2"/>
  <c r="R23" i="2"/>
  <c r="S23" i="2"/>
  <c r="T23" i="2"/>
  <c r="V23" i="2"/>
  <c r="W23" i="2"/>
  <c r="X23" i="2"/>
  <c r="Z23" i="2"/>
  <c r="AA23" i="2"/>
  <c r="AB23" i="2"/>
  <c r="AD23" i="2"/>
  <c r="AE23" i="2"/>
  <c r="AF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D25" i="2"/>
  <c r="F25" i="2"/>
  <c r="G25" i="2"/>
  <c r="H25" i="2"/>
  <c r="J25" i="2"/>
  <c r="K25" i="2"/>
  <c r="L25" i="2"/>
  <c r="N25" i="2"/>
  <c r="O25" i="2"/>
  <c r="P25" i="2"/>
  <c r="R25" i="2"/>
  <c r="S25" i="2"/>
  <c r="T25" i="2"/>
  <c r="V25" i="2"/>
  <c r="W25" i="2"/>
  <c r="X25" i="2"/>
  <c r="Z25" i="2"/>
  <c r="AA25" i="2"/>
  <c r="AB25" i="2"/>
  <c r="AD25" i="2"/>
  <c r="AE25" i="2"/>
  <c r="AF25" i="2"/>
  <c r="AH25" i="2"/>
  <c r="D28" i="2"/>
  <c r="F28" i="2"/>
  <c r="G28" i="2"/>
  <c r="H28" i="2"/>
  <c r="J28" i="2"/>
  <c r="K28" i="2"/>
  <c r="L28" i="2"/>
  <c r="N28" i="2"/>
  <c r="O28" i="2"/>
  <c r="P28" i="2"/>
  <c r="R28" i="2"/>
  <c r="S28" i="2"/>
  <c r="T28" i="2"/>
  <c r="V28" i="2"/>
  <c r="W28" i="2"/>
  <c r="X28" i="2"/>
  <c r="Z28" i="2"/>
  <c r="AA28" i="2"/>
  <c r="AB28" i="2"/>
  <c r="AD28" i="2"/>
  <c r="AE28" i="2"/>
  <c r="AF28" i="2"/>
  <c r="AH28" i="2"/>
  <c r="D35" i="2"/>
  <c r="E35" i="2"/>
  <c r="E38" i="2" s="1"/>
  <c r="F35" i="2"/>
  <c r="G35" i="2"/>
  <c r="H35" i="2"/>
  <c r="I35" i="2"/>
  <c r="I38" i="2" s="1"/>
  <c r="J35" i="2"/>
  <c r="K35" i="2"/>
  <c r="L35" i="2"/>
  <c r="M35" i="2"/>
  <c r="M38" i="2" s="1"/>
  <c r="N35" i="2"/>
  <c r="O35" i="2"/>
  <c r="P35" i="2"/>
  <c r="Q35" i="2"/>
  <c r="Q38" i="2" s="1"/>
  <c r="R35" i="2"/>
  <c r="S35" i="2"/>
  <c r="T35" i="2"/>
  <c r="U35" i="2"/>
  <c r="U38" i="2" s="1"/>
  <c r="V35" i="2"/>
  <c r="W35" i="2"/>
  <c r="X35" i="2"/>
  <c r="Y35" i="2"/>
  <c r="Y38" i="2" s="1"/>
  <c r="Z35" i="2"/>
  <c r="AA35" i="2"/>
  <c r="AB35" i="2"/>
  <c r="AC35" i="2"/>
  <c r="AC38" i="2" s="1"/>
  <c r="AD35" i="2"/>
  <c r="AE35" i="2"/>
  <c r="AF35" i="2"/>
  <c r="AG35" i="2"/>
  <c r="AG38" i="2" s="1"/>
  <c r="AH35" i="2"/>
  <c r="D36" i="2"/>
  <c r="F36" i="2"/>
  <c r="G36" i="2"/>
  <c r="H36" i="2"/>
  <c r="J36" i="2"/>
  <c r="K36" i="2"/>
  <c r="L36" i="2"/>
  <c r="N36" i="2"/>
  <c r="O36" i="2"/>
  <c r="P36" i="2"/>
  <c r="R36" i="2"/>
  <c r="S36" i="2"/>
  <c r="T36" i="2"/>
  <c r="V36" i="2"/>
  <c r="W36" i="2"/>
  <c r="X36" i="2"/>
  <c r="Z36" i="2"/>
  <c r="AA36" i="2"/>
  <c r="AB36" i="2"/>
  <c r="AD36" i="2"/>
  <c r="AE36" i="2"/>
  <c r="AF36" i="2"/>
  <c r="AH36" i="2"/>
  <c r="D37" i="2"/>
  <c r="F37" i="2"/>
  <c r="G37" i="2"/>
  <c r="H37" i="2"/>
  <c r="J37" i="2"/>
  <c r="K37" i="2"/>
  <c r="L37" i="2"/>
  <c r="N37" i="2"/>
  <c r="O37" i="2"/>
  <c r="P37" i="2"/>
  <c r="R37" i="2"/>
  <c r="S37" i="2"/>
  <c r="T37" i="2"/>
  <c r="V37" i="2"/>
  <c r="W37" i="2"/>
  <c r="X37" i="2"/>
  <c r="Z37" i="2"/>
  <c r="AA37" i="2"/>
  <c r="AB37" i="2"/>
  <c r="AD37" i="2"/>
  <c r="AE37" i="2"/>
  <c r="AF37" i="2"/>
  <c r="AH37" i="2"/>
  <c r="D38" i="2"/>
  <c r="F38" i="2"/>
  <c r="G38" i="2"/>
  <c r="H38" i="2"/>
  <c r="J38" i="2"/>
  <c r="K38" i="2"/>
  <c r="L38" i="2"/>
  <c r="N38" i="2"/>
  <c r="O38" i="2"/>
  <c r="P38" i="2"/>
  <c r="R38" i="2"/>
  <c r="S38" i="2"/>
  <c r="T38" i="2"/>
  <c r="V38" i="2"/>
  <c r="W38" i="2"/>
  <c r="X38" i="2"/>
  <c r="Z38" i="2"/>
  <c r="AA38" i="2"/>
  <c r="AB38" i="2"/>
  <c r="AD38" i="2"/>
  <c r="AE38" i="2"/>
  <c r="AF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D40" i="2"/>
  <c r="F40" i="2"/>
  <c r="G40" i="2"/>
  <c r="H40" i="2"/>
  <c r="J40" i="2"/>
  <c r="K40" i="2"/>
  <c r="L40" i="2"/>
  <c r="N40" i="2"/>
  <c r="O40" i="2"/>
  <c r="P40" i="2"/>
  <c r="R40" i="2"/>
  <c r="S40" i="2"/>
  <c r="T40" i="2"/>
  <c r="V40" i="2"/>
  <c r="W40" i="2"/>
  <c r="X40" i="2"/>
  <c r="Z40" i="2"/>
  <c r="AA40" i="2"/>
  <c r="AB40" i="2"/>
  <c r="AD40" i="2"/>
  <c r="AE40" i="2"/>
  <c r="AF40" i="2"/>
  <c r="AH40" i="2"/>
  <c r="D41" i="2"/>
  <c r="F41" i="2"/>
  <c r="G41" i="2"/>
  <c r="H41" i="2"/>
  <c r="J41" i="2"/>
  <c r="K41" i="2"/>
  <c r="L41" i="2"/>
  <c r="N41" i="2"/>
  <c r="O41" i="2"/>
  <c r="P41" i="2"/>
  <c r="R41" i="2"/>
  <c r="S41" i="2"/>
  <c r="T41" i="2"/>
  <c r="V41" i="2"/>
  <c r="W41" i="2"/>
  <c r="X41" i="2"/>
  <c r="Z41" i="2"/>
  <c r="AA41" i="2"/>
  <c r="AB41" i="2"/>
  <c r="AD41" i="2"/>
  <c r="AE41" i="2"/>
  <c r="AF41" i="2"/>
  <c r="AH41" i="2"/>
  <c r="D42" i="2"/>
  <c r="F42" i="2"/>
  <c r="G42" i="2"/>
  <c r="H42" i="2"/>
  <c r="J42" i="2"/>
  <c r="K42" i="2"/>
  <c r="L42" i="2"/>
  <c r="N42" i="2"/>
  <c r="O42" i="2"/>
  <c r="P42" i="2"/>
  <c r="R42" i="2"/>
  <c r="S42" i="2"/>
  <c r="T42" i="2"/>
  <c r="V42" i="2"/>
  <c r="W42" i="2"/>
  <c r="X42" i="2"/>
  <c r="Z42" i="2"/>
  <c r="AA42" i="2"/>
  <c r="AB42" i="2"/>
  <c r="AD42" i="2"/>
  <c r="AE42" i="2"/>
  <c r="AF42" i="2"/>
  <c r="AH42" i="2"/>
  <c r="D45" i="2"/>
  <c r="E45" i="2"/>
  <c r="E48" i="2" s="1"/>
  <c r="F45" i="2"/>
  <c r="G45" i="2"/>
  <c r="H45" i="2"/>
  <c r="I45" i="2"/>
  <c r="I48" i="2" s="1"/>
  <c r="J45" i="2"/>
  <c r="K45" i="2"/>
  <c r="L45" i="2"/>
  <c r="M45" i="2"/>
  <c r="M48" i="2" s="1"/>
  <c r="N45" i="2"/>
  <c r="O45" i="2"/>
  <c r="P45" i="2"/>
  <c r="Q45" i="2"/>
  <c r="Q48" i="2" s="1"/>
  <c r="R45" i="2"/>
  <c r="S45" i="2"/>
  <c r="T45" i="2"/>
  <c r="U45" i="2"/>
  <c r="U48" i="2" s="1"/>
  <c r="V45" i="2"/>
  <c r="W45" i="2"/>
  <c r="X45" i="2"/>
  <c r="Y45" i="2"/>
  <c r="Y48" i="2" s="1"/>
  <c r="Z45" i="2"/>
  <c r="AA45" i="2"/>
  <c r="AB45" i="2"/>
  <c r="AC45" i="2"/>
  <c r="AC48" i="2" s="1"/>
  <c r="AD45" i="2"/>
  <c r="AE45" i="2"/>
  <c r="AF45" i="2"/>
  <c r="AG45" i="2"/>
  <c r="AG48" i="2" s="1"/>
  <c r="AH45" i="2"/>
  <c r="D48" i="2"/>
  <c r="F48" i="2"/>
  <c r="G48" i="2"/>
  <c r="H48" i="2"/>
  <c r="J48" i="2"/>
  <c r="K48" i="2"/>
  <c r="L48" i="2"/>
  <c r="N48" i="2"/>
  <c r="O48" i="2"/>
  <c r="P48" i="2"/>
  <c r="R48" i="2"/>
  <c r="S48" i="2"/>
  <c r="T48" i="2"/>
  <c r="V48" i="2"/>
  <c r="W48" i="2"/>
  <c r="X48" i="2"/>
  <c r="Z48" i="2"/>
  <c r="AA48" i="2"/>
  <c r="AB48" i="2"/>
  <c r="AD48" i="2"/>
  <c r="AE48" i="2"/>
  <c r="AF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G40" i="2" l="1"/>
  <c r="AC40" i="2"/>
  <c r="Y40" i="2"/>
  <c r="U40" i="2"/>
  <c r="Q40" i="2"/>
  <c r="M40" i="2"/>
  <c r="I40" i="2"/>
  <c r="E40" i="2"/>
  <c r="AG36" i="2"/>
  <c r="AC36" i="2"/>
  <c r="Y36" i="2"/>
  <c r="U36" i="2"/>
  <c r="Q36" i="2"/>
  <c r="M36" i="2"/>
  <c r="I36" i="2"/>
  <c r="E36" i="2"/>
  <c r="AG25" i="2"/>
  <c r="AC25" i="2"/>
  <c r="Y25" i="2"/>
  <c r="U25" i="2"/>
  <c r="Q25" i="2"/>
  <c r="M25" i="2"/>
  <c r="I25" i="2"/>
  <c r="E25" i="2"/>
  <c r="AG18" i="2"/>
  <c r="AC18" i="2"/>
  <c r="Y18" i="2"/>
  <c r="U18" i="2"/>
  <c r="Q18" i="2"/>
  <c r="M18" i="2"/>
  <c r="I18" i="2"/>
  <c r="E18" i="2"/>
  <c r="AG13" i="2"/>
  <c r="AC13" i="2"/>
  <c r="Y13" i="2"/>
  <c r="U13" i="2"/>
  <c r="Q13" i="2"/>
  <c r="M13" i="2"/>
  <c r="I13" i="2"/>
  <c r="E13" i="2"/>
  <c r="AE4" i="2"/>
  <c r="AA4" i="2"/>
  <c r="W4" i="2"/>
  <c r="S4" i="2"/>
  <c r="O4" i="2"/>
  <c r="K4" i="2"/>
  <c r="G4" i="2"/>
  <c r="AG41" i="2"/>
  <c r="AC41" i="2"/>
  <c r="Y41" i="2"/>
  <c r="U41" i="2"/>
  <c r="Q41" i="2"/>
  <c r="M41" i="2"/>
  <c r="I41" i="2"/>
  <c r="E41" i="2"/>
  <c r="AG37" i="2"/>
  <c r="AC37" i="2"/>
  <c r="Y37" i="2"/>
  <c r="U37" i="2"/>
  <c r="Q37" i="2"/>
  <c r="M37" i="2"/>
  <c r="I37" i="2"/>
  <c r="E37" i="2"/>
  <c r="AG28" i="2"/>
  <c r="AC28" i="2"/>
  <c r="Y28" i="2"/>
  <c r="U28" i="2"/>
  <c r="Q28" i="2"/>
  <c r="M28" i="2"/>
  <c r="I28" i="2"/>
  <c r="E28" i="2"/>
  <c r="AG20" i="2"/>
  <c r="AC20" i="2"/>
  <c r="Y20" i="2"/>
  <c r="U20" i="2"/>
  <c r="Q20" i="2"/>
  <c r="M20" i="2"/>
  <c r="I20" i="2"/>
  <c r="E20" i="2"/>
  <c r="AG14" i="2"/>
  <c r="AC14" i="2"/>
  <c r="Y14" i="2"/>
  <c r="U14" i="2"/>
  <c r="Q14" i="2"/>
  <c r="M14" i="2"/>
  <c r="I14" i="2"/>
  <c r="E14" i="2"/>
  <c r="AE5" i="2"/>
  <c r="AA5" i="2"/>
  <c r="W5" i="2"/>
  <c r="S5" i="2"/>
  <c r="O5" i="2"/>
  <c r="K5" i="2"/>
  <c r="G5" i="2"/>
  <c r="Q49" i="2"/>
  <c r="AG42" i="2"/>
  <c r="AC42" i="2"/>
  <c r="Y42" i="2"/>
  <c r="U42" i="2"/>
  <c r="Q42" i="2"/>
  <c r="M42" i="2"/>
  <c r="I42" i="2"/>
  <c r="E42" i="2"/>
  <c r="AG23" i="2"/>
  <c r="AC23" i="2"/>
  <c r="Y23" i="2"/>
  <c r="U23" i="2"/>
  <c r="Q23" i="2"/>
  <c r="M23" i="2"/>
  <c r="I23" i="2"/>
  <c r="E23" i="2"/>
  <c r="C3" i="2"/>
  <c r="C4" i="2" s="1"/>
  <c r="C7" i="2"/>
  <c r="C8" i="2"/>
  <c r="C12" i="2"/>
  <c r="C15" i="2" s="1"/>
  <c r="C13" i="2"/>
  <c r="C14" i="2"/>
  <c r="C17" i="2"/>
  <c r="C18" i="2"/>
  <c r="C20" i="2"/>
  <c r="C24" i="2"/>
  <c r="C25" i="2"/>
  <c r="C28" i="2"/>
  <c r="C35" i="2"/>
  <c r="C37" i="2" s="1"/>
  <c r="C36" i="2"/>
  <c r="C39" i="2"/>
  <c r="C40" i="2"/>
  <c r="C45" i="2"/>
  <c r="C49" i="2"/>
  <c r="C5" i="2" l="1"/>
  <c r="C48" i="2"/>
  <c r="C42" i="2"/>
  <c r="C38" i="2"/>
  <c r="C23" i="2"/>
  <c r="C41" i="2"/>
  <c r="A32" i="2"/>
  <c r="A12" i="2"/>
  <c r="A3" i="2"/>
</calcChain>
</file>

<file path=xl/sharedStrings.xml><?xml version="1.0" encoding="utf-8"?>
<sst xmlns="http://schemas.openxmlformats.org/spreadsheetml/2006/main" count="43" uniqueCount="36">
  <si>
    <t>Count</t>
  </si>
  <si>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</si>
  <si>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</si>
  <si>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</si>
  <si>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</si>
  <si>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</si>
  <si>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</si>
  <si>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</si>
  <si>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</si>
  <si>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</si>
  <si>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</si>
  <si>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</si>
  <si>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</si>
  <si>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</si>
  <si>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</si>
  <si>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</si>
  <si>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</si>
  <si>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</si>
  <si>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</si>
  <si>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</si>
  <si>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</si>
  <si>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</si>
  <si>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</si>
  <si>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</si>
  <si>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</t>
  </si>
  <si>
    <t>SubjectID</t>
  </si>
  <si>
    <t>Species</t>
  </si>
  <si>
    <t>Strain</t>
  </si>
  <si>
    <t>Genotype</t>
  </si>
  <si>
    <t>Sex</t>
  </si>
  <si>
    <t>Weight</t>
  </si>
  <si>
    <t>Age</t>
  </si>
  <si>
    <t>AgeCategory</t>
  </si>
  <si>
    <t>Sample</t>
  </si>
  <si>
    <t>SampleID</t>
  </si>
  <si>
    <t>ComponentID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</si>
</sst>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 applyFont="1" applyAlignment="1"/>
    <xf numFmtId="0" fontId="1" fillId="0" borderId="0" xfId="1" applyFont="1" applyAlignment="1">
      <alignment horizontal="center"/>
    </xf>
    <xf numFmtId="0" fontId="2" fillId="0" borderId="0" xfId="1" applyFont="1" applyAlignment="1"/>
    <xf numFmtId="164" fontId="1" fillId="0" borderId="0" xfId="1" applyNumberFormat="1" applyFont="1" applyAlignment="1"/>
    <xf numFmtId="164" fontId="1" fillId="0" borderId="0" xfId="1" applyNumberFormat="1" applyFont="1" applyAlignment="1">
      <alignment horizontal="center"/>
    </xf>
    <xf numFmtId="0" fontId="1" fillId="2" borderId="0" xfId="1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2"/>
  <sheetViews>
    <sheetView tabSelected="1" zoomScale="90" zoomScaleNormal="90" workbookViewId="0"/>
  </sheetViews>
  <sheetFormatPr defaultColWidth="15.7109375" defaultRowHeight="15" x14ac:dyDescent="0.25"/>
  <cols>
    <col min="1" max="2" width="15.7109375" style="1"/>
  </cols>
  <sheetData>
    <row r="1" spans="1:34" x14ac:dyDescent="0.25">
      <c r="B1" s="2" t="s">
        <v>0</v>
      </c>
    </row>
    <row r="2" spans="1:34" x14ac:dyDescent="0.25">
      <c r="A2" s="3" t="s">
        <v>1</v>
      </c>
      <c r="B2" s="6">
        <v>1</v>
      </c>
    </row>
    <row r="3" spans="1:34" x14ac:dyDescent="0.25">
      <c r="A3" s="1" t="str">
        <f>A2&amp;"ID"</f>
        <v>ActivityID</v>
      </c>
      <c r="B3" s="2"/>
      <c r="C3" t="str">
        <f>IF(NOT(ISBLANK(MINDS!C$21)),MINDS!C$21,"")</f>
        <v/>
      </c>
      <c r="D3" t="str">
        <f>IF(NOT(ISBLANK(MINDS!D$21)),MINDS!D$21,"")</f>
        <v/>
      </c>
      <c r="E3" t="str">
        <f>IF(NOT(ISBLANK(MINDS!E$21)),MINDS!E$21,"")</f>
        <v/>
      </c>
      <c r="F3" t="str">
        <f>IF(NOT(ISBLANK(MINDS!F$21)),MINDS!F$21,"")</f>
        <v/>
      </c>
      <c r="G3" t="str">
        <f>IF(NOT(ISBLANK(MINDS!G$21)),MINDS!G$21,"")</f>
        <v/>
      </c>
      <c r="H3" t="str">
        <f>IF(NOT(ISBLANK(MINDS!H$21)),MINDS!H$21,"")</f>
        <v/>
      </c>
      <c r="I3" t="str">
        <f>IF(NOT(ISBLANK(MINDS!I$21)),MINDS!I$21,"")</f>
        <v/>
      </c>
      <c r="J3" t="str">
        <f>IF(NOT(ISBLANK(MINDS!J$21)),MINDS!J$21,"")</f>
        <v/>
      </c>
      <c r="K3" t="str">
        <f>IF(NOT(ISBLANK(MINDS!K$21)),MINDS!K$21,"")</f>
        <v/>
      </c>
      <c r="L3" t="str">
        <f>IF(NOT(ISBLANK(MINDS!L$21)),MINDS!L$21,"")</f>
        <v/>
      </c>
      <c r="M3" t="str">
        <f>IF(NOT(ISBLANK(MINDS!M$21)),MINDS!M$21,"")</f>
        <v/>
      </c>
      <c r="N3" t="str">
        <f>IF(NOT(ISBLANK(MINDS!N$21)),MINDS!N$21,"")</f>
        <v/>
      </c>
      <c r="O3" t="str">
        <f>IF(NOT(ISBLANK(MINDS!O$21)),MINDS!O$21,"")</f>
        <v/>
      </c>
      <c r="P3" t="str">
        <f>IF(NOT(ISBLANK(MINDS!P$21)),MINDS!P$21,"")</f>
        <v/>
      </c>
      <c r="Q3" t="str">
        <f>IF(NOT(ISBLANK(MINDS!Q$21)),MINDS!Q$21,"")</f>
        <v/>
      </c>
      <c r="R3" t="str">
        <f>IF(NOT(ISBLANK(MINDS!R$21)),MINDS!R$21,"")</f>
        <v/>
      </c>
      <c r="S3" t="str">
        <f>IF(NOT(ISBLANK(MINDS!S$21)),MINDS!S$21,"")</f>
        <v/>
      </c>
      <c r="T3" t="str">
        <f>IF(NOT(ISBLANK(MINDS!T$21)),MINDS!T$21,"")</f>
        <v/>
      </c>
      <c r="U3" t="str">
        <f>IF(NOT(ISBLANK(MINDS!U$21)),MINDS!U$21,"")</f>
        <v/>
      </c>
      <c r="V3" t="str">
        <f>IF(NOT(ISBLANK(MINDS!V$21)),MINDS!V$21,"")</f>
        <v/>
      </c>
      <c r="W3" t="str">
        <f>IF(NOT(ISBLANK(MINDS!W$21)),MINDS!W$21,"")</f>
        <v/>
      </c>
      <c r="X3" t="str">
        <f>IF(NOT(ISBLANK(MINDS!X$21)),MINDS!X$21,"")</f>
        <v/>
      </c>
      <c r="Y3" t="str">
        <f>IF(NOT(ISBLANK(MINDS!Y$21)),MINDS!Y$21,"")</f>
        <v/>
      </c>
      <c r="Z3" t="str">
        <f>IF(NOT(ISBLANK(MINDS!Z$21)),MINDS!Z$21,"")</f>
        <v/>
      </c>
      <c r="AA3" t="str">
        <f>IF(NOT(ISBLANK(MINDS!AA$21)),MINDS!AA$21,"")</f>
        <v/>
      </c>
      <c r="AB3" t="str">
        <f>IF(NOT(ISBLANK(MINDS!AB$21)),MINDS!AB$21,"")</f>
        <v/>
      </c>
      <c r="AC3" t="str">
        <f>IF(NOT(ISBLANK(MINDS!AC$21)),MINDS!AC$21,"")</f>
        <v/>
      </c>
      <c r="AD3" t="str">
        <f>IF(NOT(ISBLANK(MINDS!AD$21)),MINDS!AD$21,"")</f>
        <v/>
      </c>
      <c r="AE3" t="str">
        <f>IF(NOT(ISBLANK(MINDS!AE$21)),MINDS!AE$21,"")</f>
        <v/>
      </c>
      <c r="AF3" t="str">
        <f>IF(NOT(ISBLANK(MINDS!AF$21)),MINDS!AF$21,"")</f>
        <v/>
      </c>
      <c r="AG3" t="str">
        <f>IF(NOT(ISBLANK(MINDS!AG$21)),MINDS!AG$21,"")</f>
        <v/>
      </c>
      <c r="AH3" t="str">
        <f>IF(NOT(ISBLANK(MINDS!AH$21)),MINDS!AH$21,"")</f>
        <v/>
      </c>
    </row>
    <row r="4" spans="1:34" x14ac:dyDescent="0.25">
      <c r="A4" s="1" t="s">
        <v>2</v>
      </c>
      <c r="B4" s="2"/>
      <c r="C4" t="str">
        <f>IF(C$3&lt;&gt;"",IF(NOT(ISBLANK(MINDS!C$22)),MINDS!C$22,""),"")</f>
        <v/>
      </c>
      <c r="D4" t="str">
        <f>IF(D$3&lt;&gt;"",IF(NOT(ISBLANK(MINDS!D$22)),MINDS!D$22,""),"")</f>
        <v/>
      </c>
      <c r="E4" t="str">
        <f>IF(E$3&lt;&gt;"",IF(NOT(ISBLANK(MINDS!E$22)),MINDS!E$22,""),"")</f>
        <v/>
      </c>
      <c r="F4" t="str">
        <f>IF(F$3&lt;&gt;"",IF(NOT(ISBLANK(MINDS!F$22)),MINDS!F$22,""),"")</f>
        <v/>
      </c>
      <c r="G4" t="str">
        <f>IF(G$3&lt;&gt;"",IF(NOT(ISBLANK(MINDS!G$22)),MINDS!G$22,""),"")</f>
        <v/>
      </c>
      <c r="H4" t="str">
        <f>IF(H$3&lt;&gt;"",IF(NOT(ISBLANK(MINDS!H$22)),MINDS!H$22,""),"")</f>
        <v/>
      </c>
      <c r="I4" t="str">
        <f>IF(I$3&lt;&gt;"",IF(NOT(ISBLANK(MINDS!I$22)),MINDS!I$22,""),"")</f>
        <v/>
      </c>
      <c r="J4" t="str">
        <f>IF(J$3&lt;&gt;"",IF(NOT(ISBLANK(MINDS!J$22)),MINDS!J$22,""),"")</f>
        <v/>
      </c>
      <c r="K4" t="str">
        <f>IF(K$3&lt;&gt;"",IF(NOT(ISBLANK(MINDS!K$22)),MINDS!K$22,""),"")</f>
        <v/>
      </c>
      <c r="L4" t="str">
        <f>IF(L$3&lt;&gt;"",IF(NOT(ISBLANK(MINDS!L$22)),MINDS!L$22,""),"")</f>
        <v/>
      </c>
      <c r="M4" t="str">
        <f>IF(M$3&lt;&gt;"",IF(NOT(ISBLANK(MINDS!M$22)),MINDS!M$22,""),"")</f>
        <v/>
      </c>
      <c r="N4" t="str">
        <f>IF(N$3&lt;&gt;"",IF(NOT(ISBLANK(MINDS!N$22)),MINDS!N$22,""),"")</f>
        <v/>
      </c>
      <c r="O4" t="str">
        <f>IF(O$3&lt;&gt;"",IF(NOT(ISBLANK(MINDS!O$22)),MINDS!O$22,""),"")</f>
        <v/>
      </c>
      <c r="P4" t="str">
        <f>IF(P$3&lt;&gt;"",IF(NOT(ISBLANK(MINDS!P$22)),MINDS!P$22,""),"")</f>
        <v/>
      </c>
      <c r="Q4" t="str">
        <f>IF(Q$3&lt;&gt;"",IF(NOT(ISBLANK(MINDS!Q$22)),MINDS!Q$22,""),"")</f>
        <v/>
      </c>
      <c r="R4" t="str">
        <f>IF(R$3&lt;&gt;"",IF(NOT(ISBLANK(MINDS!R$22)),MINDS!R$22,""),"")</f>
        <v/>
      </c>
      <c r="S4" t="str">
        <f>IF(S$3&lt;&gt;"",IF(NOT(ISBLANK(MINDS!S$22)),MINDS!S$22,""),"")</f>
        <v/>
      </c>
      <c r="T4" t="str">
        <f>IF(T$3&lt;&gt;"",IF(NOT(ISBLANK(MINDS!T$22)),MINDS!T$22,""),"")</f>
        <v/>
      </c>
      <c r="U4" t="str">
        <f>IF(U$3&lt;&gt;"",IF(NOT(ISBLANK(MINDS!U$22)),MINDS!U$22,""),"")</f>
        <v/>
      </c>
      <c r="V4" t="str">
        <f>IF(V$3&lt;&gt;"",IF(NOT(ISBLANK(MINDS!V$22)),MINDS!V$22,""),"")</f>
        <v/>
      </c>
      <c r="W4" t="str">
        <f>IF(W$3&lt;&gt;"",IF(NOT(ISBLANK(MINDS!W$22)),MINDS!W$22,""),"")</f>
        <v/>
      </c>
      <c r="X4" t="str">
        <f>IF(X$3&lt;&gt;"",IF(NOT(ISBLANK(MINDS!X$22)),MINDS!X$22,""),"")</f>
        <v/>
      </c>
      <c r="Y4" t="str">
        <f>IF(Y$3&lt;&gt;"",IF(NOT(ISBLANK(MINDS!Y$22)),MINDS!Y$22,""),"")</f>
        <v/>
      </c>
      <c r="Z4" t="str">
        <f>IF(Z$3&lt;&gt;"",IF(NOT(ISBLANK(MINDS!Z$22)),MINDS!Z$22,""),"")</f>
        <v/>
      </c>
      <c r="AA4" t="str">
        <f>IF(AA$3&lt;&gt;"",IF(NOT(ISBLANK(MINDS!AA$22)),MINDS!AA$22,""),"")</f>
        <v/>
      </c>
      <c r="AB4" t="str">
        <f>IF(AB$3&lt;&gt;"",IF(NOT(ISBLANK(MINDS!AB$22)),MINDS!AB$22,""),"")</f>
        <v/>
      </c>
      <c r="AC4" t="str">
        <f>IF(AC$3&lt;&gt;"",IF(NOT(ISBLANK(MINDS!AC$22)),MINDS!AC$22,""),"")</f>
        <v/>
      </c>
      <c r="AD4" t="str">
        <f>IF(AD$3&lt;&gt;"",IF(NOT(ISBLANK(MINDS!AD$22)),MINDS!AD$22,""),"")</f>
        <v/>
      </c>
      <c r="AE4" t="str">
        <f>IF(AE$3&lt;&gt;"",IF(NOT(ISBLANK(MINDS!AE$22)),MINDS!AE$22,""),"")</f>
        <v/>
      </c>
      <c r="AF4" t="str">
        <f>IF(AF$3&lt;&gt;"",IF(NOT(ISBLANK(MINDS!AF$22)),MINDS!AF$22,""),"")</f>
        <v/>
      </c>
      <c r="AG4" t="str">
        <f>IF(AG$3&lt;&gt;"",IF(NOT(ISBLANK(MINDS!AG$22)),MINDS!AG$22,""),"")</f>
        <v/>
      </c>
      <c r="AH4" t="str">
        <f>IF(AH$3&lt;&gt;"",IF(NOT(ISBLANK(MINDS!AH$22)),MINDS!AH$22,""),"")</f>
        <v/>
      </c>
    </row>
    <row r="5" spans="1:34" x14ac:dyDescent="0.25">
      <c r="A5" s="1" t="s">
        <v>3</v>
      </c>
      <c r="B5" s="2"/>
      <c r="C5" t="str">
        <f>IF(C$3&lt;&gt;"",IF(NOT(ISBLANK(MINDS!C$23)),MINDS!C$23,""),"")</f>
        <v/>
      </c>
      <c r="D5" t="str">
        <f>IF(D$3&lt;&gt;"",IF(NOT(ISBLANK(MINDS!D$23)),MINDS!D$23,""),"")</f>
        <v/>
      </c>
      <c r="E5" t="str">
        <f>IF(E$3&lt;&gt;"",IF(NOT(ISBLANK(MINDS!E$23)),MINDS!E$23,""),"")</f>
        <v/>
      </c>
      <c r="F5" t="str">
        <f>IF(F$3&lt;&gt;"",IF(NOT(ISBLANK(MINDS!F$23)),MINDS!F$23,""),"")</f>
        <v/>
      </c>
      <c r="G5" t="str">
        <f>IF(G$3&lt;&gt;"",IF(NOT(ISBLANK(MINDS!G$23)),MINDS!G$23,""),"")</f>
        <v/>
      </c>
      <c r="H5" t="str">
        <f>IF(H$3&lt;&gt;"",IF(NOT(ISBLANK(MINDS!H$23)),MINDS!H$23,""),"")</f>
        <v/>
      </c>
      <c r="I5" t="str">
        <f>IF(I$3&lt;&gt;"",IF(NOT(ISBLANK(MINDS!I$23)),MINDS!I$23,""),"")</f>
        <v/>
      </c>
      <c r="J5" t="str">
        <f>IF(J$3&lt;&gt;"",IF(NOT(ISBLANK(MINDS!J$23)),MINDS!J$23,""),"")</f>
        <v/>
      </c>
      <c r="K5" t="str">
        <f>IF(K$3&lt;&gt;"",IF(NOT(ISBLANK(MINDS!K$23)),MINDS!K$23,""),"")</f>
        <v/>
      </c>
      <c r="L5" t="str">
        <f>IF(L$3&lt;&gt;"",IF(NOT(ISBLANK(MINDS!L$23)),MINDS!L$23,""),"")</f>
        <v/>
      </c>
      <c r="M5" t="str">
        <f>IF(M$3&lt;&gt;"",IF(NOT(ISBLANK(MINDS!M$23)),MINDS!M$23,""),"")</f>
        <v/>
      </c>
      <c r="N5" t="str">
        <f>IF(N$3&lt;&gt;"",IF(NOT(ISBLANK(MINDS!N$23)),MINDS!N$23,""),"")</f>
        <v/>
      </c>
      <c r="O5" t="str">
        <f>IF(O$3&lt;&gt;"",IF(NOT(ISBLANK(MINDS!O$23)),MINDS!O$23,""),"")</f>
        <v/>
      </c>
      <c r="P5" t="str">
        <f>IF(P$3&lt;&gt;"",IF(NOT(ISBLANK(MINDS!P$23)),MINDS!P$23,""),"")</f>
        <v/>
      </c>
      <c r="Q5" t="str">
        <f>IF(Q$3&lt;&gt;"",IF(NOT(ISBLANK(MINDS!Q$23)),MINDS!Q$23,""),"")</f>
        <v/>
      </c>
      <c r="R5" t="str">
        <f>IF(R$3&lt;&gt;"",IF(NOT(ISBLANK(MINDS!R$23)),MINDS!R$23,""),"")</f>
        <v/>
      </c>
      <c r="S5" t="str">
        <f>IF(S$3&lt;&gt;"",IF(NOT(ISBLANK(MINDS!S$23)),MINDS!S$23,""),"")</f>
        <v/>
      </c>
      <c r="T5" t="str">
        <f>IF(T$3&lt;&gt;"",IF(NOT(ISBLANK(MINDS!T$23)),MINDS!T$23,""),"")</f>
        <v/>
      </c>
      <c r="U5" t="str">
        <f>IF(U$3&lt;&gt;"",IF(NOT(ISBLANK(MINDS!U$23)),MINDS!U$23,""),"")</f>
        <v/>
      </c>
      <c r="V5" t="str">
        <f>IF(V$3&lt;&gt;"",IF(NOT(ISBLANK(MINDS!V$23)),MINDS!V$23,""),"")</f>
        <v/>
      </c>
      <c r="W5" t="str">
        <f>IF(W$3&lt;&gt;"",IF(NOT(ISBLANK(MINDS!W$23)),MINDS!W$23,""),"")</f>
        <v/>
      </c>
      <c r="X5" t="str">
        <f>IF(X$3&lt;&gt;"",IF(NOT(ISBLANK(MINDS!X$23)),MINDS!X$23,""),"")</f>
        <v/>
      </c>
      <c r="Y5" t="str">
        <f>IF(Y$3&lt;&gt;"",IF(NOT(ISBLANK(MINDS!Y$23)),MINDS!Y$23,""),"")</f>
        <v/>
      </c>
      <c r="Z5" t="str">
        <f>IF(Z$3&lt;&gt;"",IF(NOT(ISBLANK(MINDS!Z$23)),MINDS!Z$23,""),"")</f>
        <v/>
      </c>
      <c r="AA5" t="str">
        <f>IF(AA$3&lt;&gt;"",IF(NOT(ISBLANK(MINDS!AA$23)),MINDS!AA$23,""),"")</f>
        <v/>
      </c>
      <c r="AB5" t="str">
        <f>IF(AB$3&lt;&gt;"",IF(NOT(ISBLANK(MINDS!AB$23)),MINDS!AB$23,""),"")</f>
        <v/>
      </c>
      <c r="AC5" t="str">
        <f>IF(AC$3&lt;&gt;"",IF(NOT(ISBLANK(MINDS!AC$23)),MINDS!AC$23,""),"")</f>
        <v/>
      </c>
      <c r="AD5" t="str">
        <f>IF(AD$3&lt;&gt;"",IF(NOT(ISBLANK(MINDS!AD$23)),MINDS!AD$23,""),"")</f>
        <v/>
      </c>
      <c r="AE5" t="str">
        <f>IF(AE$3&lt;&gt;"",IF(NOT(ISBLANK(MINDS!AE$23)),MINDS!AE$23,""),"")</f>
        <v/>
      </c>
      <c r="AF5" t="str">
        <f>IF(AF$3&lt;&gt;"",IF(NOT(ISBLANK(MINDS!AF$23)),MINDS!AF$23,""),"")</f>
        <v/>
      </c>
      <c r="AG5" t="str">
        <f>IF(AG$3&lt;&gt;"",IF(NOT(ISBLANK(MINDS!AG$23)),MINDS!AG$23,""),"")</f>
        <v/>
      </c>
      <c r="AH5" t="str">
        <f>IF(AH$3&lt;&gt;"",IF(NOT(ISBLANK(MINDS!AH$23)),MINDS!AH$23,""),"")</f>
        <v/>
      </c>
    </row>
    <row r="6" spans="1:34" x14ac:dyDescent="0.25">
      <c r="A6" s="1" t="s">
        <v>4</v>
      </c>
      <c r="B6" s="2"/>
    </row>
    <row r="7" spans="1:34" x14ac:dyDescent="0.25">
      <c r="A7" s="1" t="s">
        <v>5</v>
      </c>
      <c r="B7" s="2"/>
      <c r="C7" t="str">
        <f>SUBSTITUTE(IF(C$3&lt;&gt;"",IF(NOT(ISBLANK(MINDS!C$25)),MINDS!C$25,""),""),";","|")</f>
        <v/>
      </c>
      <c r="D7" t="str">
        <f>SUBSTITUTE(IF(D$3&lt;&gt;"",IF(NOT(ISBLANK(MINDS!D$25)),MINDS!D$25,""),""),";","|")</f>
        <v/>
      </c>
      <c r="E7" t="str">
        <f>SUBSTITUTE(IF(E$3&lt;&gt;"",IF(NOT(ISBLANK(MINDS!E$25)),MINDS!E$25,""),""),";","|")</f>
        <v/>
      </c>
      <c r="F7" t="str">
        <f>SUBSTITUTE(IF(F$3&lt;&gt;"",IF(NOT(ISBLANK(MINDS!F$25)),MINDS!F$25,""),""),";","|")</f>
        <v/>
      </c>
      <c r="G7" t="str">
        <f>SUBSTITUTE(IF(G$3&lt;&gt;"",IF(NOT(ISBLANK(MINDS!G$25)),MINDS!G$25,""),""),";","|")</f>
        <v/>
      </c>
      <c r="H7" t="str">
        <f>SUBSTITUTE(IF(H$3&lt;&gt;"",IF(NOT(ISBLANK(MINDS!H$25)),MINDS!H$25,""),""),";","|")</f>
        <v/>
      </c>
      <c r="I7" t="str">
        <f>SUBSTITUTE(IF(I$3&lt;&gt;"",IF(NOT(ISBLANK(MINDS!I$25)),MINDS!I$25,""),""),";","|")</f>
        <v/>
      </c>
      <c r="J7" t="str">
        <f>SUBSTITUTE(IF(J$3&lt;&gt;"",IF(NOT(ISBLANK(MINDS!J$25)),MINDS!J$25,""),""),";","|")</f>
        <v/>
      </c>
      <c r="K7" t="str">
        <f>SUBSTITUTE(IF(K$3&lt;&gt;"",IF(NOT(ISBLANK(MINDS!K$25)),MINDS!K$25,""),""),";","|")</f>
        <v/>
      </c>
      <c r="L7" t="str">
        <f>SUBSTITUTE(IF(L$3&lt;&gt;"",IF(NOT(ISBLANK(MINDS!L$25)),MINDS!L$25,""),""),";","|")</f>
        <v/>
      </c>
      <c r="M7" t="str">
        <f>SUBSTITUTE(IF(M$3&lt;&gt;"",IF(NOT(ISBLANK(MINDS!M$25)),MINDS!M$25,""),""),";","|")</f>
        <v/>
      </c>
      <c r="N7" t="str">
        <f>SUBSTITUTE(IF(N$3&lt;&gt;"",IF(NOT(ISBLANK(MINDS!N$25)),MINDS!N$25,""),""),";","|")</f>
        <v/>
      </c>
      <c r="O7" t="str">
        <f>SUBSTITUTE(IF(O$3&lt;&gt;"",IF(NOT(ISBLANK(MINDS!O$25)),MINDS!O$25,""),""),";","|")</f>
        <v/>
      </c>
      <c r="P7" t="str">
        <f>SUBSTITUTE(IF(P$3&lt;&gt;"",IF(NOT(ISBLANK(MINDS!P$25)),MINDS!P$25,""),""),";","|")</f>
        <v/>
      </c>
      <c r="Q7" t="str">
        <f>SUBSTITUTE(IF(Q$3&lt;&gt;"",IF(NOT(ISBLANK(MINDS!Q$25)),MINDS!Q$25,""),""),";","|")</f>
        <v/>
      </c>
      <c r="R7" t="str">
        <f>SUBSTITUTE(IF(R$3&lt;&gt;"",IF(NOT(ISBLANK(MINDS!R$25)),MINDS!R$25,""),""),";","|")</f>
        <v/>
      </c>
      <c r="S7" t="str">
        <f>SUBSTITUTE(IF(S$3&lt;&gt;"",IF(NOT(ISBLANK(MINDS!S$25)),MINDS!S$25,""),""),";","|")</f>
        <v/>
      </c>
      <c r="T7" t="str">
        <f>SUBSTITUTE(IF(T$3&lt;&gt;"",IF(NOT(ISBLANK(MINDS!T$25)),MINDS!T$25,""),""),";","|")</f>
        <v/>
      </c>
      <c r="U7" t="str">
        <f>SUBSTITUTE(IF(U$3&lt;&gt;"",IF(NOT(ISBLANK(MINDS!U$25)),MINDS!U$25,""),""),";","|")</f>
        <v/>
      </c>
      <c r="V7" t="str">
        <f>SUBSTITUTE(IF(V$3&lt;&gt;"",IF(NOT(ISBLANK(MINDS!V$25)),MINDS!V$25,""),""),";","|")</f>
        <v/>
      </c>
      <c r="W7" t="str">
        <f>SUBSTITUTE(IF(W$3&lt;&gt;"",IF(NOT(ISBLANK(MINDS!W$25)),MINDS!W$25,""),""),";","|")</f>
        <v/>
      </c>
      <c r="X7" t="str">
        <f>SUBSTITUTE(IF(X$3&lt;&gt;"",IF(NOT(ISBLANK(MINDS!X$25)),MINDS!X$25,""),""),";","|")</f>
        <v/>
      </c>
      <c r="Y7" t="str">
        <f>SUBSTITUTE(IF(Y$3&lt;&gt;"",IF(NOT(ISBLANK(MINDS!Y$25)),MINDS!Y$25,""),""),";","|")</f>
        <v/>
      </c>
      <c r="Z7" t="str">
        <f>SUBSTITUTE(IF(Z$3&lt;&gt;"",IF(NOT(ISBLANK(MINDS!Z$25)),MINDS!Z$25,""),""),";","|")</f>
        <v/>
      </c>
      <c r="AA7" t="str">
        <f>SUBSTITUTE(IF(AA$3&lt;&gt;"",IF(NOT(ISBLANK(MINDS!AA$25)),MINDS!AA$25,""),""),";","|")</f>
        <v/>
      </c>
      <c r="AB7" t="str">
        <f>SUBSTITUTE(IF(AB$3&lt;&gt;"",IF(NOT(ISBLANK(MINDS!AB$25)),MINDS!AB$25,""),""),";","|")</f>
        <v/>
      </c>
      <c r="AC7" t="str">
        <f>SUBSTITUTE(IF(AC$3&lt;&gt;"",IF(NOT(ISBLANK(MINDS!AC$25)),MINDS!AC$25,""),""),";","|")</f>
        <v/>
      </c>
      <c r="AD7" t="str">
        <f>SUBSTITUTE(IF(AD$3&lt;&gt;"",IF(NOT(ISBLANK(MINDS!AD$25)),MINDS!AD$25,""),""),";","|")</f>
        <v/>
      </c>
      <c r="AE7" t="str">
        <f>SUBSTITUTE(IF(AE$3&lt;&gt;"",IF(NOT(ISBLANK(MINDS!AE$25)),MINDS!AE$25,""),""),";","|")</f>
        <v/>
      </c>
      <c r="AF7" t="str">
        <f>SUBSTITUTE(IF(AF$3&lt;&gt;"",IF(NOT(ISBLANK(MINDS!AF$25)),MINDS!AF$25,""),""),";","|")</f>
        <v/>
      </c>
      <c r="AG7" t="str">
        <f>SUBSTITUTE(IF(AG$3&lt;&gt;"",IF(NOT(ISBLANK(MINDS!AG$25)),MINDS!AG$25,""),""),";","|")</f>
        <v/>
      </c>
      <c r="AH7" t="str">
        <f>SUBSTITUTE(IF(AH$3&lt;&gt;"",IF(NOT(ISBLANK(MINDS!AH$25)),MINDS!AH$25,""),""),";","|")</f>
        <v/>
      </c>
    </row>
    <row r="8" spans="1:34" x14ac:dyDescent="0.25">
      <c r="A8" s="1" t="s">
        <v>6</v>
      </c>
      <c r="B8" s="2"/>
      <c r="C8" t="str">
        <f>IF(C$3&lt;&gt;"",IF(NOT(ISBLANK(MINDS!C$24)),MINDS!C$24,""),"")</f>
        <v/>
      </c>
      <c r="D8" t="str">
        <f>IF(D$3&lt;&gt;"",IF(NOT(ISBLANK(MINDS!D$24)),MINDS!D$24,""),"")</f>
        <v/>
      </c>
      <c r="E8" t="str">
        <f>IF(E$3&lt;&gt;"",IF(NOT(ISBLANK(MINDS!E$24)),MINDS!E$24,""),"")</f>
        <v/>
      </c>
      <c r="F8" t="str">
        <f>IF(F$3&lt;&gt;"",IF(NOT(ISBLANK(MINDS!F$24)),MINDS!F$24,""),"")</f>
        <v/>
      </c>
      <c r="G8" t="str">
        <f>IF(G$3&lt;&gt;"",IF(NOT(ISBLANK(MINDS!G$24)),MINDS!G$24,""),"")</f>
        <v/>
      </c>
      <c r="H8" t="str">
        <f>IF(H$3&lt;&gt;"",IF(NOT(ISBLANK(MINDS!H$24)),MINDS!H$24,""),"")</f>
        <v/>
      </c>
      <c r="I8" t="str">
        <f>IF(I$3&lt;&gt;"",IF(NOT(ISBLANK(MINDS!I$24)),MINDS!I$24,""),"")</f>
        <v/>
      </c>
      <c r="J8" t="str">
        <f>IF(J$3&lt;&gt;"",IF(NOT(ISBLANK(MINDS!J$24)),MINDS!J$24,""),"")</f>
        <v/>
      </c>
      <c r="K8" t="str">
        <f>IF(K$3&lt;&gt;"",IF(NOT(ISBLANK(MINDS!K$24)),MINDS!K$24,""),"")</f>
        <v/>
      </c>
      <c r="L8" t="str">
        <f>IF(L$3&lt;&gt;"",IF(NOT(ISBLANK(MINDS!L$24)),MINDS!L$24,""),"")</f>
        <v/>
      </c>
      <c r="M8" t="str">
        <f>IF(M$3&lt;&gt;"",IF(NOT(ISBLANK(MINDS!M$24)),MINDS!M$24,""),"")</f>
        <v/>
      </c>
      <c r="N8" t="str">
        <f>IF(N$3&lt;&gt;"",IF(NOT(ISBLANK(MINDS!N$24)),MINDS!N$24,""),"")</f>
        <v/>
      </c>
      <c r="O8" t="str">
        <f>IF(O$3&lt;&gt;"",IF(NOT(ISBLANK(MINDS!O$24)),MINDS!O$24,""),"")</f>
        <v/>
      </c>
      <c r="P8" t="str">
        <f>IF(P$3&lt;&gt;"",IF(NOT(ISBLANK(MINDS!P$24)),MINDS!P$24,""),"")</f>
        <v/>
      </c>
      <c r="Q8" t="str">
        <f>IF(Q$3&lt;&gt;"",IF(NOT(ISBLANK(MINDS!Q$24)),MINDS!Q$24,""),"")</f>
        <v/>
      </c>
      <c r="R8" t="str">
        <f>IF(R$3&lt;&gt;"",IF(NOT(ISBLANK(MINDS!R$24)),MINDS!R$24,""),"")</f>
        <v/>
      </c>
      <c r="S8" t="str">
        <f>IF(S$3&lt;&gt;"",IF(NOT(ISBLANK(MINDS!S$24)),MINDS!S$24,""),"")</f>
        <v/>
      </c>
      <c r="T8" t="str">
        <f>IF(T$3&lt;&gt;"",IF(NOT(ISBLANK(MINDS!T$24)),MINDS!T$24,""),"")</f>
        <v/>
      </c>
      <c r="U8" t="str">
        <f>IF(U$3&lt;&gt;"",IF(NOT(ISBLANK(MINDS!U$24)),MINDS!U$24,""),"")</f>
        <v/>
      </c>
      <c r="V8" t="str">
        <f>IF(V$3&lt;&gt;"",IF(NOT(ISBLANK(MINDS!V$24)),MINDS!V$24,""),"")</f>
        <v/>
      </c>
      <c r="W8" t="str">
        <f>IF(W$3&lt;&gt;"",IF(NOT(ISBLANK(MINDS!W$24)),MINDS!W$24,""),"")</f>
        <v/>
      </c>
      <c r="X8" t="str">
        <f>IF(X$3&lt;&gt;"",IF(NOT(ISBLANK(MINDS!X$24)),MINDS!X$24,""),"")</f>
        <v/>
      </c>
      <c r="Y8" t="str">
        <f>IF(Y$3&lt;&gt;"",IF(NOT(ISBLANK(MINDS!Y$24)),MINDS!Y$24,""),"")</f>
        <v/>
      </c>
      <c r="Z8" t="str">
        <f>IF(Z$3&lt;&gt;"",IF(NOT(ISBLANK(MINDS!Z$24)),MINDS!Z$24,""),"")</f>
        <v/>
      </c>
      <c r="AA8" t="str">
        <f>IF(AA$3&lt;&gt;"",IF(NOT(ISBLANK(MINDS!AA$24)),MINDS!AA$24,""),"")</f>
        <v/>
      </c>
      <c r="AB8" t="str">
        <f>IF(AB$3&lt;&gt;"",IF(NOT(ISBLANK(MINDS!AB$24)),MINDS!AB$24,""),"")</f>
        <v/>
      </c>
      <c r="AC8" t="str">
        <f>IF(AC$3&lt;&gt;"",IF(NOT(ISBLANK(MINDS!AC$24)),MINDS!AC$24,""),"")</f>
        <v/>
      </c>
      <c r="AD8" t="str">
        <f>IF(AD$3&lt;&gt;"",IF(NOT(ISBLANK(MINDS!AD$24)),MINDS!AD$24,""),"")</f>
        <v/>
      </c>
      <c r="AE8" t="str">
        <f>IF(AE$3&lt;&gt;"",IF(NOT(ISBLANK(MINDS!AE$24)),MINDS!AE$24,""),"")</f>
        <v/>
      </c>
      <c r="AF8" t="str">
        <f>IF(AF$3&lt;&gt;"",IF(NOT(ISBLANK(MINDS!AF$24)),MINDS!AF$24,""),"")</f>
        <v/>
      </c>
      <c r="AG8" t="str">
        <f>IF(AG$3&lt;&gt;"",IF(NOT(ISBLANK(MINDS!AG$24)),MINDS!AG$24,""),"")</f>
        <v/>
      </c>
      <c r="AH8" t="str">
        <f>IF(AH$3&lt;&gt;"",IF(NOT(ISBLANK(MINDS!AH$24)),MINDS!AH$24,""),"")</f>
        <v/>
      </c>
    </row>
    <row r="9" spans="1:34" x14ac:dyDescent="0.25">
      <c r="A9" s="1" t="s">
        <v>7</v>
      </c>
      <c r="B9" s="2"/>
      <c r="C9" t="str">
        <f>IF(C$3&lt;&gt;"",IF(NOT(ISBLANK(MINDS!$B$10)),MINDS!$B$10,""),"")</f>
        <v/>
      </c>
      <c r="D9" t="str">
        <f>IF(D$3&lt;&gt;"",IF(NOT(ISBLANK(MINDS!$B$10)),MINDS!$B$10,""),"")</f>
        <v/>
      </c>
      <c r="E9" t="str">
        <f>IF(E$3&lt;&gt;"",IF(NOT(ISBLANK(MINDS!$B$10)),MINDS!$B$10,""),"")</f>
        <v/>
      </c>
      <c r="F9" t="str">
        <f>IF(F$3&lt;&gt;"",IF(NOT(ISBLANK(MINDS!$B$10)),MINDS!$B$10,""),"")</f>
        <v/>
      </c>
      <c r="G9" t="str">
        <f>IF(G$3&lt;&gt;"",IF(NOT(ISBLANK(MINDS!$B$10)),MINDS!$B$10,""),"")</f>
        <v/>
      </c>
      <c r="H9" t="str">
        <f>IF(H$3&lt;&gt;"",IF(NOT(ISBLANK(MINDS!$B$10)),MINDS!$B$10,""),"")</f>
        <v/>
      </c>
      <c r="I9" t="str">
        <f>IF(I$3&lt;&gt;"",IF(NOT(ISBLANK(MINDS!$B$10)),MINDS!$B$10,""),"")</f>
        <v/>
      </c>
      <c r="J9" t="str">
        <f>IF(J$3&lt;&gt;"",IF(NOT(ISBLANK(MINDS!$B$10)),MINDS!$B$10,""),"")</f>
        <v/>
      </c>
      <c r="K9" t="str">
        <f>IF(K$3&lt;&gt;"",IF(NOT(ISBLANK(MINDS!$B$10)),MINDS!$B$10,""),"")</f>
        <v/>
      </c>
      <c r="L9" t="str">
        <f>IF(L$3&lt;&gt;"",IF(NOT(ISBLANK(MINDS!$B$10)),MINDS!$B$10,""),"")</f>
        <v/>
      </c>
      <c r="M9" t="str">
        <f>IF(M$3&lt;&gt;"",IF(NOT(ISBLANK(MINDS!$B$10)),MINDS!$B$10,""),"")</f>
        <v/>
      </c>
      <c r="N9" t="str">
        <f>IF(N$3&lt;&gt;"",IF(NOT(ISBLANK(MINDS!$B$10)),MINDS!$B$10,""),"")</f>
        <v/>
      </c>
      <c r="O9" t="str">
        <f>IF(O$3&lt;&gt;"",IF(NOT(ISBLANK(MINDS!$B$10)),MINDS!$B$10,""),"")</f>
        <v/>
      </c>
      <c r="P9" t="str">
        <f>IF(P$3&lt;&gt;"",IF(NOT(ISBLANK(MINDS!$B$10)),MINDS!$B$10,""),"")</f>
        <v/>
      </c>
      <c r="Q9" t="str">
        <f>IF(Q$3&lt;&gt;"",IF(NOT(ISBLANK(MINDS!$B$10)),MINDS!$B$10,""),"")</f>
        <v/>
      </c>
      <c r="R9" t="str">
        <f>IF(R$3&lt;&gt;"",IF(NOT(ISBLANK(MINDS!$B$10)),MINDS!$B$10,""),"")</f>
        <v/>
      </c>
      <c r="S9" t="str">
        <f>IF(S$3&lt;&gt;"",IF(NOT(ISBLANK(MINDS!$B$10)),MINDS!$B$10,""),"")</f>
        <v/>
      </c>
      <c r="T9" t="str">
        <f>IF(T$3&lt;&gt;"",IF(NOT(ISBLANK(MINDS!$B$10)),MINDS!$B$10,""),"")</f>
        <v/>
      </c>
      <c r="U9" t="str">
        <f>IF(U$3&lt;&gt;"",IF(NOT(ISBLANK(MINDS!$B$10)),MINDS!$B$10,""),"")</f>
        <v/>
      </c>
      <c r="V9" t="str">
        <f>IF(V$3&lt;&gt;"",IF(NOT(ISBLANK(MINDS!$B$10)),MINDS!$B$10,""),"")</f>
        <v/>
      </c>
      <c r="W9" t="str">
        <f>IF(W$3&lt;&gt;"",IF(NOT(ISBLANK(MINDS!$B$10)),MINDS!$B$10,""),"")</f>
        <v/>
      </c>
      <c r="X9" t="str">
        <f>IF(X$3&lt;&gt;"",IF(NOT(ISBLANK(MINDS!$B$10)),MINDS!$B$10,""),"")</f>
        <v/>
      </c>
      <c r="Y9" t="str">
        <f>IF(Y$3&lt;&gt;"",IF(NOT(ISBLANK(MINDS!$B$10)),MINDS!$B$10,""),"")</f>
        <v/>
      </c>
      <c r="Z9" t="str">
        <f>IF(Z$3&lt;&gt;"",IF(NOT(ISBLANK(MINDS!$B$10)),MINDS!$B$10,""),"")</f>
        <v/>
      </c>
      <c r="AA9" t="str">
        <f>IF(AA$3&lt;&gt;"",IF(NOT(ISBLANK(MINDS!$B$10)),MINDS!$B$10,""),"")</f>
        <v/>
      </c>
      <c r="AB9" t="str">
        <f>IF(AB$3&lt;&gt;"",IF(NOT(ISBLANK(MINDS!$B$10)),MINDS!$B$10,""),"")</f>
        <v/>
      </c>
      <c r="AC9" t="str">
        <f>IF(AC$3&lt;&gt;"",IF(NOT(ISBLANK(MINDS!$B$10)),MINDS!$B$10,""),"")</f>
        <v/>
      </c>
      <c r="AD9" t="str">
        <f>IF(AD$3&lt;&gt;"",IF(NOT(ISBLANK(MINDS!$B$10)),MINDS!$B$10,""),"")</f>
        <v/>
      </c>
      <c r="AE9" t="str">
        <f>IF(AE$3&lt;&gt;"",IF(NOT(ISBLANK(MINDS!$B$10)),MINDS!$B$10,""),"")</f>
        <v/>
      </c>
      <c r="AF9" t="str">
        <f>IF(AF$3&lt;&gt;"",IF(NOT(ISBLANK(MINDS!$B$10)),MINDS!$B$10,""),"")</f>
        <v/>
      </c>
      <c r="AG9" t="str">
        <f>IF(AG$3&lt;&gt;"",IF(NOT(ISBLANK(MINDS!$B$10)),MINDS!$B$10,""),"")</f>
        <v/>
      </c>
      <c r="AH9" t="str">
        <f>IF(AH$3&lt;&gt;"",IF(NOT(ISBLANK(MINDS!$B$10)),MINDS!$B$10,""),"")</f>
        <v/>
      </c>
    </row>
    <row r="10" spans="1:34" x14ac:dyDescent="0.25">
      <c r="B10" s="2"/>
    </row>
    <row r="11" spans="1:34" x14ac:dyDescent="0.25">
      <c r="A11" s="3" t="s">
        <v>8</v>
      </c>
      <c r="B11" s="6">
        <v>1</v>
      </c>
    </row>
    <row r="12" spans="1:34" x14ac:dyDescent="0.25">
      <c r="A12" s="1" t="str">
        <f>A11&amp;"ID"</f>
        <v>DatasetID</v>
      </c>
      <c r="B12" s="2"/>
      <c r="C12" t="str">
        <f>IF(NOT(ISBLANK(MINDS!C$29)),MINDS!C$29,"")</f>
        <v/>
      </c>
      <c r="D12" t="str">
        <f>IF(NOT(ISBLANK(MINDS!D$29)),MINDS!D$29,"")</f>
        <v/>
      </c>
      <c r="E12" t="str">
        <f>IF(NOT(ISBLANK(MINDS!E$29)),MINDS!E$29,"")</f>
        <v/>
      </c>
      <c r="F12" t="str">
        <f>IF(NOT(ISBLANK(MINDS!F$29)),MINDS!F$29,"")</f>
        <v/>
      </c>
      <c r="G12" t="str">
        <f>IF(NOT(ISBLANK(MINDS!G$29)),MINDS!G$29,"")</f>
        <v/>
      </c>
      <c r="H12" t="str">
        <f>IF(NOT(ISBLANK(MINDS!H$29)),MINDS!H$29,"")</f>
        <v/>
      </c>
      <c r="I12" t="str">
        <f>IF(NOT(ISBLANK(MINDS!I$29)),MINDS!I$29,"")</f>
        <v/>
      </c>
      <c r="J12" t="str">
        <f>IF(NOT(ISBLANK(MINDS!J$29)),MINDS!J$29,"")</f>
        <v/>
      </c>
      <c r="K12" t="str">
        <f>IF(NOT(ISBLANK(MINDS!K$29)),MINDS!K$29,"")</f>
        <v/>
      </c>
      <c r="L12" t="str">
        <f>IF(NOT(ISBLANK(MINDS!L$29)),MINDS!L$29,"")</f>
        <v/>
      </c>
      <c r="M12" t="str">
        <f>IF(NOT(ISBLANK(MINDS!M$29)),MINDS!M$29,"")</f>
        <v/>
      </c>
      <c r="N12" t="str">
        <f>IF(NOT(ISBLANK(MINDS!N$29)),MINDS!N$29,"")</f>
        <v/>
      </c>
      <c r="O12" t="str">
        <f>IF(NOT(ISBLANK(MINDS!O$29)),MINDS!O$29,"")</f>
        <v/>
      </c>
      <c r="P12" t="str">
        <f>IF(NOT(ISBLANK(MINDS!P$29)),MINDS!P$29,"")</f>
        <v/>
      </c>
      <c r="Q12" t="str">
        <f>IF(NOT(ISBLANK(MINDS!Q$29)),MINDS!Q$29,"")</f>
        <v/>
      </c>
      <c r="R12" t="str">
        <f>IF(NOT(ISBLANK(MINDS!R$29)),MINDS!R$29,"")</f>
        <v/>
      </c>
      <c r="S12" t="str">
        <f>IF(NOT(ISBLANK(MINDS!S$29)),MINDS!S$29,"")</f>
        <v/>
      </c>
      <c r="T12" t="str">
        <f>IF(NOT(ISBLANK(MINDS!T$29)),MINDS!T$29,"")</f>
        <v/>
      </c>
      <c r="U12" t="str">
        <f>IF(NOT(ISBLANK(MINDS!U$29)),MINDS!U$29,"")</f>
        <v/>
      </c>
      <c r="V12" t="str">
        <f>IF(NOT(ISBLANK(MINDS!V$29)),MINDS!V$29,"")</f>
        <v/>
      </c>
      <c r="W12" t="str">
        <f>IF(NOT(ISBLANK(MINDS!W$29)),MINDS!W$29,"")</f>
        <v/>
      </c>
      <c r="X12" t="str">
        <f>IF(NOT(ISBLANK(MINDS!X$29)),MINDS!X$29,"")</f>
        <v/>
      </c>
      <c r="Y12" t="str">
        <f>IF(NOT(ISBLANK(MINDS!Y$29)),MINDS!Y$29,"")</f>
        <v/>
      </c>
      <c r="Z12" t="str">
        <f>IF(NOT(ISBLANK(MINDS!Z$29)),MINDS!Z$29,"")</f>
        <v/>
      </c>
      <c r="AA12" t="str">
        <f>IF(NOT(ISBLANK(MINDS!AA$29)),MINDS!AA$29,"")</f>
        <v/>
      </c>
      <c r="AB12" t="str">
        <f>IF(NOT(ISBLANK(MINDS!AB$29)),MINDS!AB$29,"")</f>
        <v/>
      </c>
      <c r="AC12" t="str">
        <f>IF(NOT(ISBLANK(MINDS!AC$29)),MINDS!AC$29,"")</f>
        <v/>
      </c>
      <c r="AD12" t="str">
        <f>IF(NOT(ISBLANK(MINDS!AD$29)),MINDS!AD$29,"")</f>
        <v/>
      </c>
      <c r="AE12" t="str">
        <f>IF(NOT(ISBLANK(MINDS!AE$29)),MINDS!AE$29,"")</f>
        <v/>
      </c>
      <c r="AF12" t="str">
        <f>IF(NOT(ISBLANK(MINDS!AF$29)),MINDS!AF$29,"")</f>
        <v/>
      </c>
      <c r="AG12" t="str">
        <f>IF(NOT(ISBLANK(MINDS!AG$29)),MINDS!AG$29,"")</f>
        <v/>
      </c>
      <c r="AH12" t="str">
        <f>IF(NOT(ISBLANK(MINDS!AH$29)),MINDS!AH$29,"")</f>
        <v/>
      </c>
    </row>
    <row r="13" spans="1:34" x14ac:dyDescent="0.25">
      <c r="A13" s="1" t="s">
        <v>9</v>
      </c>
      <c r="B13" s="2"/>
      <c r="C13" t="str">
        <f>IF(C$12&lt;&gt;"",IF(NOT(ISBLANK($C$32)),$C$32,""),"")</f>
        <v/>
      </c>
      <c r="D13" t="str">
        <f t="shared" ref="D13:AH13" si="0">IF(D$12&lt;&gt;"",IF(NOT(ISBLANK($C$32)),$C$32,""),"")</f>
        <v/>
      </c>
      <c r="E13" t="str">
        <f t="shared" si="0"/>
        <v/>
      </c>
      <c r="F13" t="str">
        <f t="shared" si="0"/>
        <v/>
      </c>
      <c r="G13" t="str">
        <f t="shared" si="0"/>
        <v/>
      </c>
      <c r="H13" t="str">
        <f t="shared" si="0"/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</row>
    <row r="14" spans="1:34" x14ac:dyDescent="0.25">
      <c r="A14" s="1" t="s">
        <v>1</v>
      </c>
      <c r="B14" s="2"/>
      <c r="C14" t="str">
        <f>IF(C$12&lt;&gt;"",IF(NOT(ISBLANK(C$3)),C$3,""),"")</f>
        <v/>
      </c>
      <c r="D14" t="str">
        <f t="shared" ref="D14:AH14" si="1">IF(D$12&lt;&gt;"",IF(NOT(ISBLANK(D$3)),D$3,""),"")</f>
        <v/>
      </c>
      <c r="E14" t="str">
        <f t="shared" si="1"/>
        <v/>
      </c>
      <c r="F14" t="str">
        <f t="shared" si="1"/>
        <v/>
      </c>
      <c r="G14" t="str">
        <f t="shared" si="1"/>
        <v/>
      </c>
      <c r="H14" t="str">
        <f t="shared" si="1"/>
        <v/>
      </c>
      <c r="I14" t="str">
        <f t="shared" si="1"/>
        <v/>
      </c>
      <c r="J14" t="str">
        <f t="shared" si="1"/>
        <v/>
      </c>
      <c r="K14" t="str">
        <f t="shared" si="1"/>
        <v/>
      </c>
      <c r="L14" t="str">
        <f t="shared" si="1"/>
        <v/>
      </c>
      <c r="M14" t="str">
        <f t="shared" si="1"/>
        <v/>
      </c>
      <c r="N14" t="str">
        <f t="shared" si="1"/>
        <v/>
      </c>
      <c r="O14" t="str">
        <f t="shared" si="1"/>
        <v/>
      </c>
      <c r="P14" t="str">
        <f t="shared" si="1"/>
        <v/>
      </c>
      <c r="Q14" t="str">
        <f t="shared" si="1"/>
        <v/>
      </c>
      <c r="R14" t="str">
        <f t="shared" si="1"/>
        <v/>
      </c>
      <c r="S14" t="str">
        <f t="shared" si="1"/>
        <v/>
      </c>
      <c r="T14" t="str">
        <f t="shared" si="1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 t="str">
        <f t="shared" si="1"/>
        <v/>
      </c>
      <c r="AD14" t="str">
        <f t="shared" si="1"/>
        <v/>
      </c>
      <c r="AE14" t="str">
        <f t="shared" si="1"/>
        <v/>
      </c>
      <c r="AF14" t="str">
        <f t="shared" si="1"/>
        <v/>
      </c>
      <c r="AG14" t="str">
        <f t="shared" si="1"/>
        <v/>
      </c>
      <c r="AH14" t="str">
        <f t="shared" si="1"/>
        <v/>
      </c>
    </row>
    <row r="15" spans="1:34" x14ac:dyDescent="0.25">
      <c r="A15" s="1" t="s">
        <v>10</v>
      </c>
      <c r="B15" s="2"/>
      <c r="C15" t="str">
        <f>IF(C$12&lt;&gt;"",IF(NOT(ISBLANK(MINDS!C$36)),MINDS!C$36,""),"")</f>
        <v/>
      </c>
      <c r="D15" t="str">
        <f>IF(D$12&lt;&gt;"",IF(NOT(ISBLANK(MINDS!D$36)),MINDS!D$36,""),"")</f>
        <v/>
      </c>
      <c r="E15" t="str">
        <f>IF(E$12&lt;&gt;"",IF(NOT(ISBLANK(MINDS!E$36)),MINDS!E$36,""),"")</f>
        <v/>
      </c>
      <c r="F15" t="str">
        <f>IF(F$12&lt;&gt;"",IF(NOT(ISBLANK(MINDS!F$36)),MINDS!F$36,""),"")</f>
        <v/>
      </c>
      <c r="G15" t="str">
        <f>IF(G$12&lt;&gt;"",IF(NOT(ISBLANK(MINDS!G$36)),MINDS!G$36,""),"")</f>
        <v/>
      </c>
      <c r="H15" t="str">
        <f>IF(H$12&lt;&gt;"",IF(NOT(ISBLANK(MINDS!H$36)),MINDS!H$36,""),"")</f>
        <v/>
      </c>
      <c r="I15" t="str">
        <f>IF(I$12&lt;&gt;"",IF(NOT(ISBLANK(MINDS!I$36)),MINDS!I$36,""),"")</f>
        <v/>
      </c>
      <c r="J15" t="str">
        <f>IF(J$12&lt;&gt;"",IF(NOT(ISBLANK(MINDS!J$36)),MINDS!J$36,""),"")</f>
        <v/>
      </c>
      <c r="K15" t="str">
        <f>IF(K$12&lt;&gt;"",IF(NOT(ISBLANK(MINDS!K$36)),MINDS!K$36,""),"")</f>
        <v/>
      </c>
      <c r="L15" t="str">
        <f>IF(L$12&lt;&gt;"",IF(NOT(ISBLANK(MINDS!L$36)),MINDS!L$36,""),"")</f>
        <v/>
      </c>
      <c r="M15" t="str">
        <f>IF(M$12&lt;&gt;"",IF(NOT(ISBLANK(MINDS!M$36)),MINDS!M$36,""),"")</f>
        <v/>
      </c>
      <c r="N15" t="str">
        <f>IF(N$12&lt;&gt;"",IF(NOT(ISBLANK(MINDS!N$36)),MINDS!N$36,""),"")</f>
        <v/>
      </c>
      <c r="O15" t="str">
        <f>IF(O$12&lt;&gt;"",IF(NOT(ISBLANK(MINDS!O$36)),MINDS!O$36,""),"")</f>
        <v/>
      </c>
      <c r="P15" t="str">
        <f>IF(P$12&lt;&gt;"",IF(NOT(ISBLANK(MINDS!P$36)),MINDS!P$36,""),"")</f>
        <v/>
      </c>
      <c r="Q15" t="str">
        <f>IF(Q$12&lt;&gt;"",IF(NOT(ISBLANK(MINDS!Q$36)),MINDS!Q$36,""),"")</f>
        <v/>
      </c>
      <c r="R15" t="str">
        <f>IF(R$12&lt;&gt;"",IF(NOT(ISBLANK(MINDS!R$36)),MINDS!R$36,""),"")</f>
        <v/>
      </c>
      <c r="S15" t="str">
        <f>IF(S$12&lt;&gt;"",IF(NOT(ISBLANK(MINDS!S$36)),MINDS!S$36,""),"")</f>
        <v/>
      </c>
      <c r="T15" t="str">
        <f>IF(T$12&lt;&gt;"",IF(NOT(ISBLANK(MINDS!T$36)),MINDS!T$36,""),"")</f>
        <v/>
      </c>
      <c r="U15" t="str">
        <f>IF(U$12&lt;&gt;"",IF(NOT(ISBLANK(MINDS!U$36)),MINDS!U$36,""),"")</f>
        <v/>
      </c>
      <c r="V15" t="str">
        <f>IF(V$12&lt;&gt;"",IF(NOT(ISBLANK(MINDS!V$36)),MINDS!V$36,""),"")</f>
        <v/>
      </c>
      <c r="W15" t="str">
        <f>IF(W$12&lt;&gt;"",IF(NOT(ISBLANK(MINDS!W$36)),MINDS!W$36,""),"")</f>
        <v/>
      </c>
      <c r="X15" t="str">
        <f>IF(X$12&lt;&gt;"",IF(NOT(ISBLANK(MINDS!X$36)),MINDS!X$36,""),"")</f>
        <v/>
      </c>
      <c r="Y15" t="str">
        <f>IF(Y$12&lt;&gt;"",IF(NOT(ISBLANK(MINDS!Y$36)),MINDS!Y$36,""),"")</f>
        <v/>
      </c>
      <c r="Z15" t="str">
        <f>IF(Z$12&lt;&gt;"",IF(NOT(ISBLANK(MINDS!Z$36)),MINDS!Z$36,""),"")</f>
        <v/>
      </c>
      <c r="AA15" t="str">
        <f>IF(AA$12&lt;&gt;"",IF(NOT(ISBLANK(MINDS!AA$36)),MINDS!AA$36,""),"")</f>
        <v/>
      </c>
      <c r="AB15" t="str">
        <f>IF(AB$12&lt;&gt;"",IF(NOT(ISBLANK(MINDS!AB$36)),MINDS!AB$36,""),"")</f>
        <v/>
      </c>
      <c r="AC15" t="str">
        <f>IF(AC$12&lt;&gt;"",IF(NOT(ISBLANK(MINDS!AC$36)),MINDS!AC$36,""),"")</f>
        <v/>
      </c>
      <c r="AD15" t="str">
        <f>IF(AD$12&lt;&gt;"",IF(NOT(ISBLANK(MINDS!AD$36)),MINDS!AD$36,""),"")</f>
        <v/>
      </c>
      <c r="AE15" t="str">
        <f>IF(AE$12&lt;&gt;"",IF(NOT(ISBLANK(MINDS!AE$36)),MINDS!AE$36,""),"")</f>
        <v/>
      </c>
      <c r="AF15" t="str">
        <f>IF(AF$12&lt;&gt;"",IF(NOT(ISBLANK(MINDS!AF$36)),MINDS!AF$36,""),"")</f>
        <v/>
      </c>
      <c r="AG15" t="str">
        <f>IF(AG$12&lt;&gt;"",IF(NOT(ISBLANK(MINDS!AG$36)),MINDS!AG$36,""),"")</f>
        <v/>
      </c>
      <c r="AH15" t="str">
        <f>IF(AH$12&lt;&gt;"",IF(NOT(ISBLANK(MINDS!AH$36)),MINDS!AH$36,""),"")</f>
        <v/>
      </c>
    </row>
    <row r="16" spans="1:34" x14ac:dyDescent="0.25">
      <c r="A16" s="1" t="s">
        <v>11</v>
      </c>
      <c r="B16" s="2"/>
    </row>
    <row r="17" spans="1:34" x14ac:dyDescent="0.25">
      <c r="A17" s="4" t="s">
        <v>12</v>
      </c>
      <c r="B17" s="5"/>
      <c r="C17" t="str">
        <f>IF(C$12&lt;&gt;"",IF(NOT(ISBLANK(MINDS!C$34)),TEXT(MINDS!C$34,"yyyy-mm-dd"),""),"")</f>
        <v/>
      </c>
      <c r="D17" t="str">
        <f>IF(D$12&lt;&gt;"",IF(NOT(ISBLANK(MINDS!D$34)),TEXT(MINDS!D$34,"yyyy-mm-dd"),""),"")</f>
        <v/>
      </c>
      <c r="E17" t="str">
        <f>IF(E$12&lt;&gt;"",IF(NOT(ISBLANK(MINDS!E$34)),TEXT(MINDS!E$34,"yyyy-mm-dd"),""),"")</f>
        <v/>
      </c>
      <c r="F17" t="str">
        <f>IF(F$12&lt;&gt;"",IF(NOT(ISBLANK(MINDS!F$34)),TEXT(MINDS!F$34,"yyyy-mm-dd"),""),"")</f>
        <v/>
      </c>
      <c r="G17" t="str">
        <f>IF(G$12&lt;&gt;"",IF(NOT(ISBLANK(MINDS!G$34)),TEXT(MINDS!G$34,"yyyy-mm-dd"),""),"")</f>
        <v/>
      </c>
      <c r="H17" t="str">
        <f>IF(H$12&lt;&gt;"",IF(NOT(ISBLANK(MINDS!H$34)),TEXT(MINDS!H$34,"yyyy-mm-dd"),""),"")</f>
        <v/>
      </c>
      <c r="I17" t="str">
        <f>IF(I$12&lt;&gt;"",IF(NOT(ISBLANK(MINDS!I$34)),TEXT(MINDS!I$34,"yyyy-mm-dd"),""),"")</f>
        <v/>
      </c>
      <c r="J17" t="str">
        <f>IF(J$12&lt;&gt;"",IF(NOT(ISBLANK(MINDS!J$34)),TEXT(MINDS!J$34,"yyyy-mm-dd"),""),"")</f>
        <v/>
      </c>
      <c r="K17" t="str">
        <f>IF(K$12&lt;&gt;"",IF(NOT(ISBLANK(MINDS!K$34)),TEXT(MINDS!K$34,"yyyy-mm-dd"),""),"")</f>
        <v/>
      </c>
      <c r="L17" t="str">
        <f>IF(L$12&lt;&gt;"",IF(NOT(ISBLANK(MINDS!L$34)),TEXT(MINDS!L$34,"yyyy-mm-dd"),""),"")</f>
        <v/>
      </c>
      <c r="M17" t="str">
        <f>IF(M$12&lt;&gt;"",IF(NOT(ISBLANK(MINDS!M$34)),TEXT(MINDS!M$34,"yyyy-mm-dd"),""),"")</f>
        <v/>
      </c>
      <c r="N17" t="str">
        <f>IF(N$12&lt;&gt;"",IF(NOT(ISBLANK(MINDS!N$34)),TEXT(MINDS!N$34,"yyyy-mm-dd"),""),"")</f>
        <v/>
      </c>
      <c r="O17" t="str">
        <f>IF(O$12&lt;&gt;"",IF(NOT(ISBLANK(MINDS!O$34)),TEXT(MINDS!O$34,"yyyy-mm-dd"),""),"")</f>
        <v/>
      </c>
      <c r="P17" t="str">
        <f>IF(P$12&lt;&gt;"",IF(NOT(ISBLANK(MINDS!P$34)),TEXT(MINDS!P$34,"yyyy-mm-dd"),""),"")</f>
        <v/>
      </c>
      <c r="Q17" t="str">
        <f>IF(Q$12&lt;&gt;"",IF(NOT(ISBLANK(MINDS!Q$34)),TEXT(MINDS!Q$34,"yyyy-mm-dd"),""),"")</f>
        <v/>
      </c>
      <c r="R17" t="str">
        <f>IF(R$12&lt;&gt;"",IF(NOT(ISBLANK(MINDS!R$34)),TEXT(MINDS!R$34,"yyyy-mm-dd"),""),"")</f>
        <v/>
      </c>
      <c r="S17" t="str">
        <f>IF(S$12&lt;&gt;"",IF(NOT(ISBLANK(MINDS!S$34)),TEXT(MINDS!S$34,"yyyy-mm-dd"),""),"")</f>
        <v/>
      </c>
      <c r="T17" t="str">
        <f>IF(T$12&lt;&gt;"",IF(NOT(ISBLANK(MINDS!T$34)),TEXT(MINDS!T$34,"yyyy-mm-dd"),""),"")</f>
        <v/>
      </c>
      <c r="U17" t="str">
        <f>IF(U$12&lt;&gt;"",IF(NOT(ISBLANK(MINDS!U$34)),TEXT(MINDS!U$34,"yyyy-mm-dd"),""),"")</f>
        <v/>
      </c>
      <c r="V17" t="str">
        <f>IF(V$12&lt;&gt;"",IF(NOT(ISBLANK(MINDS!V$34)),TEXT(MINDS!V$34,"yyyy-mm-dd"),""),"")</f>
        <v/>
      </c>
      <c r="W17" t="str">
        <f>IF(W$12&lt;&gt;"",IF(NOT(ISBLANK(MINDS!W$34)),TEXT(MINDS!W$34,"yyyy-mm-dd"),""),"")</f>
        <v/>
      </c>
      <c r="X17" t="str">
        <f>IF(X$12&lt;&gt;"",IF(NOT(ISBLANK(MINDS!X$34)),TEXT(MINDS!X$34,"yyyy-mm-dd"),""),"")</f>
        <v/>
      </c>
      <c r="Y17" t="str">
        <f>IF(Y$12&lt;&gt;"",IF(NOT(ISBLANK(MINDS!Y$34)),TEXT(MINDS!Y$34,"yyyy-mm-dd"),""),"")</f>
        <v/>
      </c>
      <c r="Z17" t="str">
        <f>IF(Z$12&lt;&gt;"",IF(NOT(ISBLANK(MINDS!Z$34)),TEXT(MINDS!Z$34,"yyyy-mm-dd"),""),"")</f>
        <v/>
      </c>
      <c r="AA17" t="str">
        <f>IF(AA$12&lt;&gt;"",IF(NOT(ISBLANK(MINDS!AA$34)),TEXT(MINDS!AA$34,"yyyy-mm-dd"),""),"")</f>
        <v/>
      </c>
      <c r="AB17" t="str">
        <f>IF(AB$12&lt;&gt;"",IF(NOT(ISBLANK(MINDS!AB$34)),TEXT(MINDS!AB$34,"yyyy-mm-dd"),""),"")</f>
        <v/>
      </c>
      <c r="AC17" t="str">
        <f>IF(AC$12&lt;&gt;"",IF(NOT(ISBLANK(MINDS!AC$34)),TEXT(MINDS!AC$34,"yyyy-mm-dd"),""),"")</f>
        <v/>
      </c>
      <c r="AD17" t="str">
        <f>IF(AD$12&lt;&gt;"",IF(NOT(ISBLANK(MINDS!AD$34)),TEXT(MINDS!AD$34,"yyyy-mm-dd"),""),"")</f>
        <v/>
      </c>
      <c r="AE17" t="str">
        <f>IF(AE$12&lt;&gt;"",IF(NOT(ISBLANK(MINDS!AE$34)),TEXT(MINDS!AE$34,"yyyy-mm-dd"),""),"")</f>
        <v/>
      </c>
      <c r="AF17" t="str">
        <f>IF(AF$12&lt;&gt;"",IF(NOT(ISBLANK(MINDS!AF$34)),TEXT(MINDS!AF$34,"yyyy-mm-dd"),""),"")</f>
        <v/>
      </c>
      <c r="AG17" t="str">
        <f>IF(AG$12&lt;&gt;"",IF(NOT(ISBLANK(MINDS!AG$34)),TEXT(MINDS!AG$34,"yyyy-mm-dd"),""),"")</f>
        <v/>
      </c>
      <c r="AH17" t="str">
        <f>IF(AH$12&lt;&gt;"",IF(NOT(ISBLANK(MINDS!AH$34)),TEXT(MINDS!AH$34,"yyyy-mm-dd"),""),"")</f>
        <v/>
      </c>
    </row>
    <row r="18" spans="1:34" x14ac:dyDescent="0.25">
      <c r="A18" s="1" t="s">
        <v>13</v>
      </c>
      <c r="B18" s="2"/>
      <c r="C18" t="str">
        <f>IF(C$12&lt;&gt;"",IF(NOT(ISBLANK(MINDS!C$35)),MINDS!C$35,""),"")</f>
        <v/>
      </c>
      <c r="D18" t="str">
        <f>IF(D$12&lt;&gt;"",IF(NOT(ISBLANK(MINDS!D$35)),MINDS!D$35,""),"")</f>
        <v/>
      </c>
      <c r="E18" t="str">
        <f>IF(E$12&lt;&gt;"",IF(NOT(ISBLANK(MINDS!E$35)),MINDS!E$35,""),"")</f>
        <v/>
      </c>
      <c r="F18" t="str">
        <f>IF(F$12&lt;&gt;"",IF(NOT(ISBLANK(MINDS!F$35)),MINDS!F$35,""),"")</f>
        <v/>
      </c>
      <c r="G18" t="str">
        <f>IF(G$12&lt;&gt;"",IF(NOT(ISBLANK(MINDS!G$35)),MINDS!G$35,""),"")</f>
        <v/>
      </c>
      <c r="H18" t="str">
        <f>IF(H$12&lt;&gt;"",IF(NOT(ISBLANK(MINDS!H$35)),MINDS!H$35,""),"")</f>
        <v/>
      </c>
      <c r="I18" t="str">
        <f>IF(I$12&lt;&gt;"",IF(NOT(ISBLANK(MINDS!I$35)),MINDS!I$35,""),"")</f>
        <v/>
      </c>
      <c r="J18" t="str">
        <f>IF(J$12&lt;&gt;"",IF(NOT(ISBLANK(MINDS!J$35)),MINDS!J$35,""),"")</f>
        <v/>
      </c>
      <c r="K18" t="str">
        <f>IF(K$12&lt;&gt;"",IF(NOT(ISBLANK(MINDS!K$35)),MINDS!K$35,""),"")</f>
        <v/>
      </c>
      <c r="L18" t="str">
        <f>IF(L$12&lt;&gt;"",IF(NOT(ISBLANK(MINDS!L$35)),MINDS!L$35,""),"")</f>
        <v/>
      </c>
      <c r="M18" t="str">
        <f>IF(M$12&lt;&gt;"",IF(NOT(ISBLANK(MINDS!M$35)),MINDS!M$35,""),"")</f>
        <v/>
      </c>
      <c r="N18" t="str">
        <f>IF(N$12&lt;&gt;"",IF(NOT(ISBLANK(MINDS!N$35)),MINDS!N$35,""),"")</f>
        <v/>
      </c>
      <c r="O18" t="str">
        <f>IF(O$12&lt;&gt;"",IF(NOT(ISBLANK(MINDS!O$35)),MINDS!O$35,""),"")</f>
        <v/>
      </c>
      <c r="P18" t="str">
        <f>IF(P$12&lt;&gt;"",IF(NOT(ISBLANK(MINDS!P$35)),MINDS!P$35,""),"")</f>
        <v/>
      </c>
      <c r="Q18" t="str">
        <f>IF(Q$12&lt;&gt;"",IF(NOT(ISBLANK(MINDS!Q$35)),MINDS!Q$35,""),"")</f>
        <v/>
      </c>
      <c r="R18" t="str">
        <f>IF(R$12&lt;&gt;"",IF(NOT(ISBLANK(MINDS!R$35)),MINDS!R$35,""),"")</f>
        <v/>
      </c>
      <c r="S18" t="str">
        <f>IF(S$12&lt;&gt;"",IF(NOT(ISBLANK(MINDS!S$35)),MINDS!S$35,""),"")</f>
        <v/>
      </c>
      <c r="T18" t="str">
        <f>IF(T$12&lt;&gt;"",IF(NOT(ISBLANK(MINDS!T$35)),MINDS!T$35,""),"")</f>
        <v/>
      </c>
      <c r="U18" t="str">
        <f>IF(U$12&lt;&gt;"",IF(NOT(ISBLANK(MINDS!U$35)),MINDS!U$35,""),"")</f>
        <v/>
      </c>
      <c r="V18" t="str">
        <f>IF(V$12&lt;&gt;"",IF(NOT(ISBLANK(MINDS!V$35)),MINDS!V$35,""),"")</f>
        <v/>
      </c>
      <c r="W18" t="str">
        <f>IF(W$12&lt;&gt;"",IF(NOT(ISBLANK(MINDS!W$35)),MINDS!W$35,""),"")</f>
        <v/>
      </c>
      <c r="X18" t="str">
        <f>IF(X$12&lt;&gt;"",IF(NOT(ISBLANK(MINDS!X$35)),MINDS!X$35,""),"")</f>
        <v/>
      </c>
      <c r="Y18" t="str">
        <f>IF(Y$12&lt;&gt;"",IF(NOT(ISBLANK(MINDS!Y$35)),MINDS!Y$35,""),"")</f>
        <v/>
      </c>
      <c r="Z18" t="str">
        <f>IF(Z$12&lt;&gt;"",IF(NOT(ISBLANK(MINDS!Z$35)),MINDS!Z$35,""),"")</f>
        <v/>
      </c>
      <c r="AA18" t="str">
        <f>IF(AA$12&lt;&gt;"",IF(NOT(ISBLANK(MINDS!AA$35)),MINDS!AA$35,""),"")</f>
        <v/>
      </c>
      <c r="AB18" t="str">
        <f>IF(AB$12&lt;&gt;"",IF(NOT(ISBLANK(MINDS!AB$35)),MINDS!AB$35,""),"")</f>
        <v/>
      </c>
      <c r="AC18" t="str">
        <f>IF(AC$12&lt;&gt;"",IF(NOT(ISBLANK(MINDS!AC$35)),MINDS!AC$35,""),"")</f>
        <v/>
      </c>
      <c r="AD18" t="str">
        <f>IF(AD$12&lt;&gt;"",IF(NOT(ISBLANK(MINDS!AD$35)),MINDS!AD$35,""),"")</f>
        <v/>
      </c>
      <c r="AE18" t="str">
        <f>IF(AE$12&lt;&gt;"",IF(NOT(ISBLANK(MINDS!AE$35)),MINDS!AE$35,""),"")</f>
        <v/>
      </c>
      <c r="AF18" t="str">
        <f>IF(AF$12&lt;&gt;"",IF(NOT(ISBLANK(MINDS!AF$35)),MINDS!AF$35,""),"")</f>
        <v/>
      </c>
      <c r="AG18" t="str">
        <f>IF(AG$12&lt;&gt;"",IF(NOT(ISBLANK(MINDS!AG$35)),MINDS!AG$35,""),"")</f>
        <v/>
      </c>
      <c r="AH18" t="str">
        <f>IF(AH$12&lt;&gt;"",IF(NOT(ISBLANK(MINDS!AH$35)),MINDS!AH$35,""),"")</f>
        <v/>
      </c>
    </row>
    <row r="19" spans="1:34" x14ac:dyDescent="0.25">
      <c r="A19" s="1" t="s">
        <v>14</v>
      </c>
      <c r="B19" s="2"/>
    </row>
    <row r="20" spans="1:34" x14ac:dyDescent="0.25">
      <c r="A20" s="1" t="s">
        <v>15</v>
      </c>
      <c r="B20" s="2"/>
      <c r="C20" t="str">
        <f>IF(C$12&lt;&gt;"",IF(NOT(ISBLANK(MINDS!C$40)),MINDS!C$40,""),"")</f>
        <v/>
      </c>
      <c r="D20" t="str">
        <f>IF(D$12&lt;&gt;"",IF(NOT(ISBLANK(MINDS!D$40)),MINDS!D$40,""),"")</f>
        <v/>
      </c>
      <c r="E20" t="str">
        <f>IF(E$12&lt;&gt;"",IF(NOT(ISBLANK(MINDS!E$40)),MINDS!E$40,""),"")</f>
        <v/>
      </c>
      <c r="F20" t="str">
        <f>IF(F$12&lt;&gt;"",IF(NOT(ISBLANK(MINDS!F$40)),MINDS!F$40,""),"")</f>
        <v/>
      </c>
      <c r="G20" t="str">
        <f>IF(G$12&lt;&gt;"",IF(NOT(ISBLANK(MINDS!G$40)),MINDS!G$40,""),"")</f>
        <v/>
      </c>
      <c r="H20" t="str">
        <f>IF(H$12&lt;&gt;"",IF(NOT(ISBLANK(MINDS!H$40)),MINDS!H$40,""),"")</f>
        <v/>
      </c>
      <c r="I20" t="str">
        <f>IF(I$12&lt;&gt;"",IF(NOT(ISBLANK(MINDS!I$40)),MINDS!I$40,""),"")</f>
        <v/>
      </c>
      <c r="J20" t="str">
        <f>IF(J$12&lt;&gt;"",IF(NOT(ISBLANK(MINDS!J$40)),MINDS!J$40,""),"")</f>
        <v/>
      </c>
      <c r="K20" t="str">
        <f>IF(K$12&lt;&gt;"",IF(NOT(ISBLANK(MINDS!K$40)),MINDS!K$40,""),"")</f>
        <v/>
      </c>
      <c r="L20" t="str">
        <f>IF(L$12&lt;&gt;"",IF(NOT(ISBLANK(MINDS!L$40)),MINDS!L$40,""),"")</f>
        <v/>
      </c>
      <c r="M20" t="str">
        <f>IF(M$12&lt;&gt;"",IF(NOT(ISBLANK(MINDS!M$40)),MINDS!M$40,""),"")</f>
        <v/>
      </c>
      <c r="N20" t="str">
        <f>IF(N$12&lt;&gt;"",IF(NOT(ISBLANK(MINDS!N$40)),MINDS!N$40,""),"")</f>
        <v/>
      </c>
      <c r="O20" t="str">
        <f>IF(O$12&lt;&gt;"",IF(NOT(ISBLANK(MINDS!O$40)),MINDS!O$40,""),"")</f>
        <v/>
      </c>
      <c r="P20" t="str">
        <f>IF(P$12&lt;&gt;"",IF(NOT(ISBLANK(MINDS!P$40)),MINDS!P$40,""),"")</f>
        <v/>
      </c>
      <c r="Q20" t="str">
        <f>IF(Q$12&lt;&gt;"",IF(NOT(ISBLANK(MINDS!Q$40)),MINDS!Q$40,""),"")</f>
        <v/>
      </c>
      <c r="R20" t="str">
        <f>IF(R$12&lt;&gt;"",IF(NOT(ISBLANK(MINDS!R$40)),MINDS!R$40,""),"")</f>
        <v/>
      </c>
      <c r="S20" t="str">
        <f>IF(S$12&lt;&gt;"",IF(NOT(ISBLANK(MINDS!S$40)),MINDS!S$40,""),"")</f>
        <v/>
      </c>
      <c r="T20" t="str">
        <f>IF(T$12&lt;&gt;"",IF(NOT(ISBLANK(MINDS!T$40)),MINDS!T$40,""),"")</f>
        <v/>
      </c>
      <c r="U20" t="str">
        <f>IF(U$12&lt;&gt;"",IF(NOT(ISBLANK(MINDS!U$40)),MINDS!U$40,""),"")</f>
        <v/>
      </c>
      <c r="V20" t="str">
        <f>IF(V$12&lt;&gt;"",IF(NOT(ISBLANK(MINDS!V$40)),MINDS!V$40,""),"")</f>
        <v/>
      </c>
      <c r="W20" t="str">
        <f>IF(W$12&lt;&gt;"",IF(NOT(ISBLANK(MINDS!W$40)),MINDS!W$40,""),"")</f>
        <v/>
      </c>
      <c r="X20" t="str">
        <f>IF(X$12&lt;&gt;"",IF(NOT(ISBLANK(MINDS!X$40)),MINDS!X$40,""),"")</f>
        <v/>
      </c>
      <c r="Y20" t="str">
        <f>IF(Y$12&lt;&gt;"",IF(NOT(ISBLANK(MINDS!Y$40)),MINDS!Y$40,""),"")</f>
        <v/>
      </c>
      <c r="Z20" t="str">
        <f>IF(Z$12&lt;&gt;"",IF(NOT(ISBLANK(MINDS!Z$40)),MINDS!Z$40,""),"")</f>
        <v/>
      </c>
      <c r="AA20" t="str">
        <f>IF(AA$12&lt;&gt;"",IF(NOT(ISBLANK(MINDS!AA$40)),MINDS!AA$40,""),"")</f>
        <v/>
      </c>
      <c r="AB20" t="str">
        <f>IF(AB$12&lt;&gt;"",IF(NOT(ISBLANK(MINDS!AB$40)),MINDS!AB$40,""),"")</f>
        <v/>
      </c>
      <c r="AC20" t="str">
        <f>IF(AC$12&lt;&gt;"",IF(NOT(ISBLANK(MINDS!AC$40)),MINDS!AC$40,""),"")</f>
        <v/>
      </c>
      <c r="AD20" t="str">
        <f>IF(AD$12&lt;&gt;"",IF(NOT(ISBLANK(MINDS!AD$40)),MINDS!AD$40,""),"")</f>
        <v/>
      </c>
      <c r="AE20" t="str">
        <f>IF(AE$12&lt;&gt;"",IF(NOT(ISBLANK(MINDS!AE$40)),MINDS!AE$40,""),"")</f>
        <v/>
      </c>
      <c r="AF20" t="str">
        <f>IF(AF$12&lt;&gt;"",IF(NOT(ISBLANK(MINDS!AF$40)),MINDS!AF$40,""),"")</f>
        <v/>
      </c>
      <c r="AG20" t="str">
        <f>IF(AG$12&lt;&gt;"",IF(NOT(ISBLANK(MINDS!AG$40)),MINDS!AG$40,""),"")</f>
        <v/>
      </c>
      <c r="AH20" t="str">
        <f>IF(AH$12&lt;&gt;"",IF(NOT(ISBLANK(MINDS!AH$40)),MINDS!AH$40,""),"")</f>
        <v/>
      </c>
    </row>
    <row r="21" spans="1:34" x14ac:dyDescent="0.25">
      <c r="A21" s="1" t="s">
        <v>16</v>
      </c>
      <c r="B21" s="2"/>
    </row>
    <row r="22" spans="1:34" x14ac:dyDescent="0.25">
      <c r="A22" s="1" t="s">
        <v>17</v>
      </c>
      <c r="B22" s="2"/>
    </row>
    <row r="23" spans="1:34" x14ac:dyDescent="0.25">
      <c r="A23" s="1" t="s">
        <v>18</v>
      </c>
      <c r="B23" s="2"/>
      <c r="C23" t="str">
        <f>IF(C$12&lt;&gt;"",IF(NOT(ISBLANK(MINDS!C$37)),MINDS!C$37,""),"")</f>
        <v/>
      </c>
      <c r="D23" t="str">
        <f>IF(D$12&lt;&gt;"",IF(NOT(ISBLANK(MINDS!D$37)),MINDS!D$37,""),"")</f>
        <v/>
      </c>
      <c r="E23" t="str">
        <f>IF(E$12&lt;&gt;"",IF(NOT(ISBLANK(MINDS!E$37)),MINDS!E$37,""),"")</f>
        <v/>
      </c>
      <c r="F23" t="str">
        <f>IF(F$12&lt;&gt;"",IF(NOT(ISBLANK(MINDS!F$37)),MINDS!F$37,""),"")</f>
        <v/>
      </c>
      <c r="G23" t="str">
        <f>IF(G$12&lt;&gt;"",IF(NOT(ISBLANK(MINDS!G$37)),MINDS!G$37,""),"")</f>
        <v/>
      </c>
      <c r="H23" t="str">
        <f>IF(H$12&lt;&gt;"",IF(NOT(ISBLANK(MINDS!H$37)),MINDS!H$37,""),"")</f>
        <v/>
      </c>
      <c r="I23" t="str">
        <f>IF(I$12&lt;&gt;"",IF(NOT(ISBLANK(MINDS!I$37)),MINDS!I$37,""),"")</f>
        <v/>
      </c>
      <c r="J23" t="str">
        <f>IF(J$12&lt;&gt;"",IF(NOT(ISBLANK(MINDS!J$37)),MINDS!J$37,""),"")</f>
        <v/>
      </c>
      <c r="K23" t="str">
        <f>IF(K$12&lt;&gt;"",IF(NOT(ISBLANK(MINDS!K$37)),MINDS!K$37,""),"")</f>
        <v/>
      </c>
      <c r="L23" t="str">
        <f>IF(L$12&lt;&gt;"",IF(NOT(ISBLANK(MINDS!L$37)),MINDS!L$37,""),"")</f>
        <v/>
      </c>
      <c r="M23" t="str">
        <f>IF(M$12&lt;&gt;"",IF(NOT(ISBLANK(MINDS!M$37)),MINDS!M$37,""),"")</f>
        <v/>
      </c>
      <c r="N23" t="str">
        <f>IF(N$12&lt;&gt;"",IF(NOT(ISBLANK(MINDS!N$37)),MINDS!N$37,""),"")</f>
        <v/>
      </c>
      <c r="O23" t="str">
        <f>IF(O$12&lt;&gt;"",IF(NOT(ISBLANK(MINDS!O$37)),MINDS!O$37,""),"")</f>
        <v/>
      </c>
      <c r="P23" t="str">
        <f>IF(P$12&lt;&gt;"",IF(NOT(ISBLANK(MINDS!P$37)),MINDS!P$37,""),"")</f>
        <v/>
      </c>
      <c r="Q23" t="str">
        <f>IF(Q$12&lt;&gt;"",IF(NOT(ISBLANK(MINDS!Q$37)),MINDS!Q$37,""),"")</f>
        <v/>
      </c>
      <c r="R23" t="str">
        <f>IF(R$12&lt;&gt;"",IF(NOT(ISBLANK(MINDS!R$37)),MINDS!R$37,""),"")</f>
        <v/>
      </c>
      <c r="S23" t="str">
        <f>IF(S$12&lt;&gt;"",IF(NOT(ISBLANK(MINDS!S$37)),MINDS!S$37,""),"")</f>
        <v/>
      </c>
      <c r="T23" t="str">
        <f>IF(T$12&lt;&gt;"",IF(NOT(ISBLANK(MINDS!T$37)),MINDS!T$37,""),"")</f>
        <v/>
      </c>
      <c r="U23" t="str">
        <f>IF(U$12&lt;&gt;"",IF(NOT(ISBLANK(MINDS!U$37)),MINDS!U$37,""),"")</f>
        <v/>
      </c>
      <c r="V23" t="str">
        <f>IF(V$12&lt;&gt;"",IF(NOT(ISBLANK(MINDS!V$37)),MINDS!V$37,""),"")</f>
        <v/>
      </c>
      <c r="W23" t="str">
        <f>IF(W$12&lt;&gt;"",IF(NOT(ISBLANK(MINDS!W$37)),MINDS!W$37,""),"")</f>
        <v/>
      </c>
      <c r="X23" t="str">
        <f>IF(X$12&lt;&gt;"",IF(NOT(ISBLANK(MINDS!X$37)),MINDS!X$37,""),"")</f>
        <v/>
      </c>
      <c r="Y23" t="str">
        <f>IF(Y$12&lt;&gt;"",IF(NOT(ISBLANK(MINDS!Y$37)),MINDS!Y$37,""),"")</f>
        <v/>
      </c>
      <c r="Z23" t="str">
        <f>IF(Z$12&lt;&gt;"",IF(NOT(ISBLANK(MINDS!Z$37)),MINDS!Z$37,""),"")</f>
        <v/>
      </c>
      <c r="AA23" t="str">
        <f>IF(AA$12&lt;&gt;"",IF(NOT(ISBLANK(MINDS!AA$37)),MINDS!AA$37,""),"")</f>
        <v/>
      </c>
      <c r="AB23" t="str">
        <f>IF(AB$12&lt;&gt;"",IF(NOT(ISBLANK(MINDS!AB$37)),MINDS!AB$37,""),"")</f>
        <v/>
      </c>
      <c r="AC23" t="str">
        <f>IF(AC$12&lt;&gt;"",IF(NOT(ISBLANK(MINDS!AC$37)),MINDS!AC$37,""),"")</f>
        <v/>
      </c>
      <c r="AD23" t="str">
        <f>IF(AD$12&lt;&gt;"",IF(NOT(ISBLANK(MINDS!AD$37)),MINDS!AD$37,""),"")</f>
        <v/>
      </c>
      <c r="AE23" t="str">
        <f>IF(AE$12&lt;&gt;"",IF(NOT(ISBLANK(MINDS!AE$37)),MINDS!AE$37,""),"")</f>
        <v/>
      </c>
      <c r="AF23" t="str">
        <f>IF(AF$12&lt;&gt;"",IF(NOT(ISBLANK(MINDS!AF$37)),MINDS!AF$37,""),"")</f>
        <v/>
      </c>
      <c r="AG23" t="str">
        <f>IF(AG$12&lt;&gt;"",IF(NOT(ISBLANK(MINDS!AG$37)),MINDS!AG$37,""),"")</f>
        <v/>
      </c>
      <c r="AH23" t="str">
        <f>IF(AH$12&lt;&gt;"",IF(NOT(ISBLANK(MINDS!AH$37)),MINDS!AH$37,""),"")</f>
        <v/>
      </c>
    </row>
    <row r="24" spans="1:34" x14ac:dyDescent="0.25">
      <c r="A24" s="1" t="s">
        <v>19</v>
      </c>
      <c r="B24" s="2"/>
      <c r="C24" t="str">
        <f>SUBSTITUTE(IF(C$12&lt;&gt;"",IF(NOT(ISBLANK(MINDS!C$39)),MINDS!C$39,""),""),";","|")</f>
        <v/>
      </c>
      <c r="D24" t="str">
        <f>SUBSTITUTE(IF(D$12&lt;&gt;"",IF(NOT(ISBLANK(MINDS!D$39)),MINDS!D$39,""),""),";","|")</f>
        <v/>
      </c>
      <c r="E24" t="str">
        <f>SUBSTITUTE(IF(E$12&lt;&gt;"",IF(NOT(ISBLANK(MINDS!E$39)),MINDS!E$39,""),""),";","|")</f>
        <v/>
      </c>
      <c r="F24" t="str">
        <f>SUBSTITUTE(IF(F$12&lt;&gt;"",IF(NOT(ISBLANK(MINDS!F$39)),MINDS!F$39,""),""),";","|")</f>
        <v/>
      </c>
      <c r="G24" t="str">
        <f>SUBSTITUTE(IF(G$12&lt;&gt;"",IF(NOT(ISBLANK(MINDS!G$39)),MINDS!G$39,""),""),";","|")</f>
        <v/>
      </c>
      <c r="H24" t="str">
        <f>SUBSTITUTE(IF(H$12&lt;&gt;"",IF(NOT(ISBLANK(MINDS!H$39)),MINDS!H$39,""),""),";","|")</f>
        <v/>
      </c>
      <c r="I24" t="str">
        <f>SUBSTITUTE(IF(I$12&lt;&gt;"",IF(NOT(ISBLANK(MINDS!I$39)),MINDS!I$39,""),""),";","|")</f>
        <v/>
      </c>
      <c r="J24" t="str">
        <f>SUBSTITUTE(IF(J$12&lt;&gt;"",IF(NOT(ISBLANK(MINDS!J$39)),MINDS!J$39,""),""),";","|")</f>
        <v/>
      </c>
      <c r="K24" t="str">
        <f>SUBSTITUTE(IF(K$12&lt;&gt;"",IF(NOT(ISBLANK(MINDS!K$39)),MINDS!K$39,""),""),";","|")</f>
        <v/>
      </c>
      <c r="L24" t="str">
        <f>SUBSTITUTE(IF(L$12&lt;&gt;"",IF(NOT(ISBLANK(MINDS!L$39)),MINDS!L$39,""),""),";","|")</f>
        <v/>
      </c>
      <c r="M24" t="str">
        <f>SUBSTITUTE(IF(M$12&lt;&gt;"",IF(NOT(ISBLANK(MINDS!M$39)),MINDS!M$39,""),""),";","|")</f>
        <v/>
      </c>
      <c r="N24" t="str">
        <f>SUBSTITUTE(IF(N$12&lt;&gt;"",IF(NOT(ISBLANK(MINDS!N$39)),MINDS!N$39,""),""),";","|")</f>
        <v/>
      </c>
      <c r="O24" t="str">
        <f>SUBSTITUTE(IF(O$12&lt;&gt;"",IF(NOT(ISBLANK(MINDS!O$39)),MINDS!O$39,""),""),";","|")</f>
        <v/>
      </c>
      <c r="P24" t="str">
        <f>SUBSTITUTE(IF(P$12&lt;&gt;"",IF(NOT(ISBLANK(MINDS!P$39)),MINDS!P$39,""),""),";","|")</f>
        <v/>
      </c>
      <c r="Q24" t="str">
        <f>SUBSTITUTE(IF(Q$12&lt;&gt;"",IF(NOT(ISBLANK(MINDS!Q$39)),MINDS!Q$39,""),""),";","|")</f>
        <v/>
      </c>
      <c r="R24" t="str">
        <f>SUBSTITUTE(IF(R$12&lt;&gt;"",IF(NOT(ISBLANK(MINDS!R$39)),MINDS!R$39,""),""),";","|")</f>
        <v/>
      </c>
      <c r="S24" t="str">
        <f>SUBSTITUTE(IF(S$12&lt;&gt;"",IF(NOT(ISBLANK(MINDS!S$39)),MINDS!S$39,""),""),";","|")</f>
        <v/>
      </c>
      <c r="T24" t="str">
        <f>SUBSTITUTE(IF(T$12&lt;&gt;"",IF(NOT(ISBLANK(MINDS!T$39)),MINDS!T$39,""),""),";","|")</f>
        <v/>
      </c>
      <c r="U24" t="str">
        <f>SUBSTITUTE(IF(U$12&lt;&gt;"",IF(NOT(ISBLANK(MINDS!U$39)),MINDS!U$39,""),""),";","|")</f>
        <v/>
      </c>
      <c r="V24" t="str">
        <f>SUBSTITUTE(IF(V$12&lt;&gt;"",IF(NOT(ISBLANK(MINDS!V$39)),MINDS!V$39,""),""),";","|")</f>
        <v/>
      </c>
      <c r="W24" t="str">
        <f>SUBSTITUTE(IF(W$12&lt;&gt;"",IF(NOT(ISBLANK(MINDS!W$39)),MINDS!W$39,""),""),";","|")</f>
        <v/>
      </c>
      <c r="X24" t="str">
        <f>SUBSTITUTE(IF(X$12&lt;&gt;"",IF(NOT(ISBLANK(MINDS!X$39)),MINDS!X$39,""),""),";","|")</f>
        <v/>
      </c>
      <c r="Y24" t="str">
        <f>SUBSTITUTE(IF(Y$12&lt;&gt;"",IF(NOT(ISBLANK(MINDS!Y$39)),MINDS!Y$39,""),""),";","|")</f>
        <v/>
      </c>
      <c r="Z24" t="str">
        <f>SUBSTITUTE(IF(Z$12&lt;&gt;"",IF(NOT(ISBLANK(MINDS!Z$39)),MINDS!Z$39,""),""),";","|")</f>
        <v/>
      </c>
      <c r="AA24" t="str">
        <f>SUBSTITUTE(IF(AA$12&lt;&gt;"",IF(NOT(ISBLANK(MINDS!AA$39)),MINDS!AA$39,""),""),";","|")</f>
        <v/>
      </c>
      <c r="AB24" t="str">
        <f>SUBSTITUTE(IF(AB$12&lt;&gt;"",IF(NOT(ISBLANK(MINDS!AB$39)),MINDS!AB$39,""),""),";","|")</f>
        <v/>
      </c>
      <c r="AC24" t="str">
        <f>SUBSTITUTE(IF(AC$12&lt;&gt;"",IF(NOT(ISBLANK(MINDS!AC$39)),MINDS!AC$39,""),""),";","|")</f>
        <v/>
      </c>
      <c r="AD24" t="str">
        <f>SUBSTITUTE(IF(AD$12&lt;&gt;"",IF(NOT(ISBLANK(MINDS!AD$39)),MINDS!AD$39,""),""),";","|")</f>
        <v/>
      </c>
      <c r="AE24" t="str">
        <f>SUBSTITUTE(IF(AE$12&lt;&gt;"",IF(NOT(ISBLANK(MINDS!AE$39)),MINDS!AE$39,""),""),";","|")</f>
        <v/>
      </c>
      <c r="AF24" t="str">
        <f>SUBSTITUTE(IF(AF$12&lt;&gt;"",IF(NOT(ISBLANK(MINDS!AF$39)),MINDS!AF$39,""),""),";","|")</f>
        <v/>
      </c>
      <c r="AG24" t="str">
        <f>SUBSTITUTE(IF(AG$12&lt;&gt;"",IF(NOT(ISBLANK(MINDS!AG$39)),MINDS!AG$39,""),""),";","|")</f>
        <v/>
      </c>
      <c r="AH24" t="str">
        <f>SUBSTITUTE(IF(AH$12&lt;&gt;"",IF(NOT(ISBLANK(MINDS!AH$39)),MINDS!AH$39,""),""),";","|")</f>
        <v/>
      </c>
    </row>
    <row r="25" spans="1:34" x14ac:dyDescent="0.25">
      <c r="A25" s="1" t="s">
        <v>20</v>
      </c>
      <c r="B25" s="2"/>
      <c r="C25" t="str">
        <f>IF(C$12&lt;&gt;"",IF(NOT(ISBLANK(MINDS!C$41)),MINDS!C$41,""),"")</f>
        <v/>
      </c>
      <c r="D25" t="str">
        <f>IF(D$12&lt;&gt;"",IF(NOT(ISBLANK(MINDS!D$41)),MINDS!D$41,""),"")</f>
        <v/>
      </c>
      <c r="E25" t="str">
        <f>IF(E$12&lt;&gt;"",IF(NOT(ISBLANK(MINDS!E$41)),MINDS!E$41,""),"")</f>
        <v/>
      </c>
      <c r="F25" t="str">
        <f>IF(F$12&lt;&gt;"",IF(NOT(ISBLANK(MINDS!F$41)),MINDS!F$41,""),"")</f>
        <v/>
      </c>
      <c r="G25" t="str">
        <f>IF(G$12&lt;&gt;"",IF(NOT(ISBLANK(MINDS!G$41)),MINDS!G$41,""),"")</f>
        <v/>
      </c>
      <c r="H25" t="str">
        <f>IF(H$12&lt;&gt;"",IF(NOT(ISBLANK(MINDS!H$41)),MINDS!H$41,""),"")</f>
        <v/>
      </c>
      <c r="I25" t="str">
        <f>IF(I$12&lt;&gt;"",IF(NOT(ISBLANK(MINDS!I$41)),MINDS!I$41,""),"")</f>
        <v/>
      </c>
      <c r="J25" t="str">
        <f>IF(J$12&lt;&gt;"",IF(NOT(ISBLANK(MINDS!J$41)),MINDS!J$41,""),"")</f>
        <v/>
      </c>
      <c r="K25" t="str">
        <f>IF(K$12&lt;&gt;"",IF(NOT(ISBLANK(MINDS!K$41)),MINDS!K$41,""),"")</f>
        <v/>
      </c>
      <c r="L25" t="str">
        <f>IF(L$12&lt;&gt;"",IF(NOT(ISBLANK(MINDS!L$41)),MINDS!L$41,""),"")</f>
        <v/>
      </c>
      <c r="M25" t="str">
        <f>IF(M$12&lt;&gt;"",IF(NOT(ISBLANK(MINDS!M$41)),MINDS!M$41,""),"")</f>
        <v/>
      </c>
      <c r="N25" t="str">
        <f>IF(N$12&lt;&gt;"",IF(NOT(ISBLANK(MINDS!N$41)),MINDS!N$41,""),"")</f>
        <v/>
      </c>
      <c r="O25" t="str">
        <f>IF(O$12&lt;&gt;"",IF(NOT(ISBLANK(MINDS!O$41)),MINDS!O$41,""),"")</f>
        <v/>
      </c>
      <c r="P25" t="str">
        <f>IF(P$12&lt;&gt;"",IF(NOT(ISBLANK(MINDS!P$41)),MINDS!P$41,""),"")</f>
        <v/>
      </c>
      <c r="Q25" t="str">
        <f>IF(Q$12&lt;&gt;"",IF(NOT(ISBLANK(MINDS!Q$41)),MINDS!Q$41,""),"")</f>
        <v/>
      </c>
      <c r="R25" t="str">
        <f>IF(R$12&lt;&gt;"",IF(NOT(ISBLANK(MINDS!R$41)),MINDS!R$41,""),"")</f>
        <v/>
      </c>
      <c r="S25" t="str">
        <f>IF(S$12&lt;&gt;"",IF(NOT(ISBLANK(MINDS!S$41)),MINDS!S$41,""),"")</f>
        <v/>
      </c>
      <c r="T25" t="str">
        <f>IF(T$12&lt;&gt;"",IF(NOT(ISBLANK(MINDS!T$41)),MINDS!T$41,""),"")</f>
        <v/>
      </c>
      <c r="U25" t="str">
        <f>IF(U$12&lt;&gt;"",IF(NOT(ISBLANK(MINDS!U$41)),MINDS!U$41,""),"")</f>
        <v/>
      </c>
      <c r="V25" t="str">
        <f>IF(V$12&lt;&gt;"",IF(NOT(ISBLANK(MINDS!V$41)),MINDS!V$41,""),"")</f>
        <v/>
      </c>
      <c r="W25" t="str">
        <f>IF(W$12&lt;&gt;"",IF(NOT(ISBLANK(MINDS!W$41)),MINDS!W$41,""),"")</f>
        <v/>
      </c>
      <c r="X25" t="str">
        <f>IF(X$12&lt;&gt;"",IF(NOT(ISBLANK(MINDS!X$41)),MINDS!X$41,""),"")</f>
        <v/>
      </c>
      <c r="Y25" t="str">
        <f>IF(Y$12&lt;&gt;"",IF(NOT(ISBLANK(MINDS!Y$41)),MINDS!Y$41,""),"")</f>
        <v/>
      </c>
      <c r="Z25" t="str">
        <f>IF(Z$12&lt;&gt;"",IF(NOT(ISBLANK(MINDS!Z$41)),MINDS!Z$41,""),"")</f>
        <v/>
      </c>
      <c r="AA25" t="str">
        <f>IF(AA$12&lt;&gt;"",IF(NOT(ISBLANK(MINDS!AA$41)),MINDS!AA$41,""),"")</f>
        <v/>
      </c>
      <c r="AB25" t="str">
        <f>IF(AB$12&lt;&gt;"",IF(NOT(ISBLANK(MINDS!AB$41)),MINDS!AB$41,""),"")</f>
        <v/>
      </c>
      <c r="AC25" t="str">
        <f>IF(AC$12&lt;&gt;"",IF(NOT(ISBLANK(MINDS!AC$41)),MINDS!AC$41,""),"")</f>
        <v/>
      </c>
      <c r="AD25" t="str">
        <f>IF(AD$12&lt;&gt;"",IF(NOT(ISBLANK(MINDS!AD$41)),MINDS!AD$41,""),"")</f>
        <v/>
      </c>
      <c r="AE25" t="str">
        <f>IF(AE$12&lt;&gt;"",IF(NOT(ISBLANK(MINDS!AE$41)),MINDS!AE$41,""),"")</f>
        <v/>
      </c>
      <c r="AF25" t="str">
        <f>IF(AF$12&lt;&gt;"",IF(NOT(ISBLANK(MINDS!AF$41)),MINDS!AF$41,""),"")</f>
        <v/>
      </c>
      <c r="AG25" t="str">
        <f>IF(AG$12&lt;&gt;"",IF(NOT(ISBLANK(MINDS!AG$41)),MINDS!AG$41,""),"")</f>
        <v/>
      </c>
      <c r="AH25" t="str">
        <f>IF(AH$12&lt;&gt;"",IF(NOT(ISBLANK(MINDS!AH$41)),MINDS!AH$41,""),"")</f>
        <v/>
      </c>
    </row>
    <row r="26" spans="1:34" x14ac:dyDescent="0.25">
      <c r="A26" s="1" t="s">
        <v>21</v>
      </c>
      <c r="B26" s="2"/>
    </row>
    <row r="27" spans="1:34" x14ac:dyDescent="0.25">
      <c r="A27" s="1" t="s">
        <v>22</v>
      </c>
      <c r="B27" s="2"/>
      <c r="C27" t="str">
        <f>IF(C$12&lt;&gt;"",IF(NOT(ISBLANK(MINDS!C$33)),MINDS!C$33,""),"")</f>
        <v/>
      </c>
      <c r="D27" t="str">
        <f>IF(D$12&lt;&gt;"",IF(NOT(ISBLANK(MINDS!D$33)),MINDS!D$33,""),"")</f>
        <v/>
      </c>
      <c r="E27" t="str">
        <f>IF(E$12&lt;&gt;"",IF(NOT(ISBLANK(MINDS!E$33)),MINDS!E$33,""),"")</f>
        <v/>
      </c>
      <c r="F27" t="str">
        <f>IF(F$12&lt;&gt;"",IF(NOT(ISBLANK(MINDS!F$33)),MINDS!F$33,""),"")</f>
        <v/>
      </c>
      <c r="G27" t="str">
        <f>IF(G$12&lt;&gt;"",IF(NOT(ISBLANK(MINDS!G$33)),MINDS!G$33,""),"")</f>
        <v/>
      </c>
      <c r="H27" t="str">
        <f>IF(H$12&lt;&gt;"",IF(NOT(ISBLANK(MINDS!H$33)),MINDS!H$33,""),"")</f>
        <v/>
      </c>
      <c r="I27" t="str">
        <f>IF(I$12&lt;&gt;"",IF(NOT(ISBLANK(MINDS!I$33)),MINDS!I$33,""),"")</f>
        <v/>
      </c>
      <c r="J27" t="str">
        <f>IF(J$12&lt;&gt;"",IF(NOT(ISBLANK(MINDS!J$33)),MINDS!J$33,""),"")</f>
        <v/>
      </c>
      <c r="K27" t="str">
        <f>IF(K$12&lt;&gt;"",IF(NOT(ISBLANK(MINDS!K$33)),MINDS!K$33,""),"")</f>
        <v/>
      </c>
      <c r="L27" t="str">
        <f>IF(L$12&lt;&gt;"",IF(NOT(ISBLANK(MINDS!L$33)),MINDS!L$33,""),"")</f>
        <v/>
      </c>
      <c r="M27" t="str">
        <f>IF(M$12&lt;&gt;"",IF(NOT(ISBLANK(MINDS!M$33)),MINDS!M$33,""),"")</f>
        <v/>
      </c>
      <c r="N27" t="str">
        <f>IF(N$12&lt;&gt;"",IF(NOT(ISBLANK(MINDS!N$33)),MINDS!N$33,""),"")</f>
        <v/>
      </c>
      <c r="O27" t="str">
        <f>IF(O$12&lt;&gt;"",IF(NOT(ISBLANK(MINDS!O$33)),MINDS!O$33,""),"")</f>
        <v/>
      </c>
      <c r="P27" t="str">
        <f>IF(P$12&lt;&gt;"",IF(NOT(ISBLANK(MINDS!P$33)),MINDS!P$33,""),"")</f>
        <v/>
      </c>
      <c r="Q27" t="str">
        <f>IF(Q$12&lt;&gt;"",IF(NOT(ISBLANK(MINDS!Q$33)),MINDS!Q$33,""),"")</f>
        <v/>
      </c>
      <c r="R27" t="str">
        <f>IF(R$12&lt;&gt;"",IF(NOT(ISBLANK(MINDS!R$33)),MINDS!R$33,""),"")</f>
        <v/>
      </c>
      <c r="S27" t="str">
        <f>IF(S$12&lt;&gt;"",IF(NOT(ISBLANK(MINDS!S$33)),MINDS!S$33,""),"")</f>
        <v/>
      </c>
      <c r="T27" t="str">
        <f>IF(T$12&lt;&gt;"",IF(NOT(ISBLANK(MINDS!T$33)),MINDS!T$33,""),"")</f>
        <v/>
      </c>
      <c r="U27" t="str">
        <f>IF(U$12&lt;&gt;"",IF(NOT(ISBLANK(MINDS!U$33)),MINDS!U$33,""),"")</f>
        <v/>
      </c>
      <c r="V27" t="str">
        <f>IF(V$12&lt;&gt;"",IF(NOT(ISBLANK(MINDS!V$33)),MINDS!V$33,""),"")</f>
        <v/>
      </c>
      <c r="W27" t="str">
        <f>IF(W$12&lt;&gt;"",IF(NOT(ISBLANK(MINDS!W$33)),MINDS!W$33,""),"")</f>
        <v/>
      </c>
      <c r="X27" t="str">
        <f>IF(X$12&lt;&gt;"",IF(NOT(ISBLANK(MINDS!X$33)),MINDS!X$33,""),"")</f>
        <v/>
      </c>
      <c r="Y27" t="str">
        <f>IF(Y$12&lt;&gt;"",IF(NOT(ISBLANK(MINDS!Y$33)),MINDS!Y$33,""),"")</f>
        <v/>
      </c>
      <c r="Z27" t="str">
        <f>IF(Z$12&lt;&gt;"",IF(NOT(ISBLANK(MINDS!Z$33)),MINDS!Z$33,""),"")</f>
        <v/>
      </c>
      <c r="AA27" t="str">
        <f>IF(AA$12&lt;&gt;"",IF(NOT(ISBLANK(MINDS!AA$33)),MINDS!AA$33,""),"")</f>
        <v/>
      </c>
      <c r="AB27" t="str">
        <f>IF(AB$12&lt;&gt;"",IF(NOT(ISBLANK(MINDS!AB$33)),MINDS!AB$33,""),"")</f>
        <v/>
      </c>
      <c r="AC27" t="str">
        <f>IF(AC$12&lt;&gt;"",IF(NOT(ISBLANK(MINDS!AC$33)),MINDS!AC$33,""),"")</f>
        <v/>
      </c>
      <c r="AD27" t="str">
        <f>IF(AD$12&lt;&gt;"",IF(NOT(ISBLANK(MINDS!AD$33)),MINDS!AD$33,""),"")</f>
        <v/>
      </c>
      <c r="AE27" t="str">
        <f>IF(AE$12&lt;&gt;"",IF(NOT(ISBLANK(MINDS!AE$33)),MINDS!AE$33,""),"")</f>
        <v/>
      </c>
      <c r="AF27" t="str">
        <f>IF(AF$12&lt;&gt;"",IF(NOT(ISBLANK(MINDS!AF$33)),MINDS!AF$33,""),"")</f>
        <v/>
      </c>
      <c r="AG27" t="str">
        <f>IF(AG$12&lt;&gt;"",IF(NOT(ISBLANK(MINDS!AG$33)),MINDS!AG$33,""),"")</f>
        <v/>
      </c>
      <c r="AH27" t="str">
        <f>IF(AH$12&lt;&gt;"",IF(NOT(ISBLANK(MINDS!AH$33)),MINDS!AH$33,""),"")</f>
        <v/>
      </c>
    </row>
    <row r="28" spans="1:34" x14ac:dyDescent="0.25">
      <c r="A28" s="1" t="s">
        <v>7</v>
      </c>
      <c r="B28" s="2"/>
      <c r="C28" t="str">
        <f>IF(C$12&lt;&gt;"",IF(NOT(ISBLANK(MINDS!C$17)),MINDS!C$17,""),"")</f>
        <v/>
      </c>
      <c r="D28" t="str">
        <f>IF(D$12&lt;&gt;"",IF(NOT(ISBLANK(MINDS!D$17)),MINDS!D$17,""),"")</f>
        <v/>
      </c>
      <c r="E28" t="str">
        <f>IF(E$12&lt;&gt;"",IF(NOT(ISBLANK(MINDS!E$17)),MINDS!E$17,""),"")</f>
        <v/>
      </c>
      <c r="F28" t="str">
        <f>IF(F$12&lt;&gt;"",IF(NOT(ISBLANK(MINDS!F$17)),MINDS!F$17,""),"")</f>
        <v/>
      </c>
      <c r="G28" t="str">
        <f>IF(G$12&lt;&gt;"",IF(NOT(ISBLANK(MINDS!G$17)),MINDS!G$17,""),"")</f>
        <v/>
      </c>
      <c r="H28" t="str">
        <f>IF(H$12&lt;&gt;"",IF(NOT(ISBLANK(MINDS!H$17)),MINDS!H$17,""),"")</f>
        <v/>
      </c>
      <c r="I28" t="str">
        <f>IF(I$12&lt;&gt;"",IF(NOT(ISBLANK(MINDS!I$17)),MINDS!I$17,""),"")</f>
        <v/>
      </c>
      <c r="J28" t="str">
        <f>IF(J$12&lt;&gt;"",IF(NOT(ISBLANK(MINDS!J$17)),MINDS!J$17,""),"")</f>
        <v/>
      </c>
      <c r="K28" t="str">
        <f>IF(K$12&lt;&gt;"",IF(NOT(ISBLANK(MINDS!K$17)),MINDS!K$17,""),"")</f>
        <v/>
      </c>
      <c r="L28" t="str">
        <f>IF(L$12&lt;&gt;"",IF(NOT(ISBLANK(MINDS!L$17)),MINDS!L$17,""),"")</f>
        <v/>
      </c>
      <c r="M28" t="str">
        <f>IF(M$12&lt;&gt;"",IF(NOT(ISBLANK(MINDS!M$17)),MINDS!M$17,""),"")</f>
        <v/>
      </c>
      <c r="N28" t="str">
        <f>IF(N$12&lt;&gt;"",IF(NOT(ISBLANK(MINDS!N$17)),MINDS!N$17,""),"")</f>
        <v/>
      </c>
      <c r="O28" t="str">
        <f>IF(O$12&lt;&gt;"",IF(NOT(ISBLANK(MINDS!O$17)),MINDS!O$17,""),"")</f>
        <v/>
      </c>
      <c r="P28" t="str">
        <f>IF(P$12&lt;&gt;"",IF(NOT(ISBLANK(MINDS!P$17)),MINDS!P$17,""),"")</f>
        <v/>
      </c>
      <c r="Q28" t="str">
        <f>IF(Q$12&lt;&gt;"",IF(NOT(ISBLANK(MINDS!Q$17)),MINDS!Q$17,""),"")</f>
        <v/>
      </c>
      <c r="R28" t="str">
        <f>IF(R$12&lt;&gt;"",IF(NOT(ISBLANK(MINDS!R$17)),MINDS!R$17,""),"")</f>
        <v/>
      </c>
      <c r="S28" t="str">
        <f>IF(S$12&lt;&gt;"",IF(NOT(ISBLANK(MINDS!S$17)),MINDS!S$17,""),"")</f>
        <v/>
      </c>
      <c r="T28" t="str">
        <f>IF(T$12&lt;&gt;"",IF(NOT(ISBLANK(MINDS!T$17)),MINDS!T$17,""),"")</f>
        <v/>
      </c>
      <c r="U28" t="str">
        <f>IF(U$12&lt;&gt;"",IF(NOT(ISBLANK(MINDS!U$17)),MINDS!U$17,""),"")</f>
        <v/>
      </c>
      <c r="V28" t="str">
        <f>IF(V$12&lt;&gt;"",IF(NOT(ISBLANK(MINDS!V$17)),MINDS!V$17,""),"")</f>
        <v/>
      </c>
      <c r="W28" t="str">
        <f>IF(W$12&lt;&gt;"",IF(NOT(ISBLANK(MINDS!W$17)),MINDS!W$17,""),"")</f>
        <v/>
      </c>
      <c r="X28" t="str">
        <f>IF(X$12&lt;&gt;"",IF(NOT(ISBLANK(MINDS!X$17)),MINDS!X$17,""),"")</f>
        <v/>
      </c>
      <c r="Y28" t="str">
        <f>IF(Y$12&lt;&gt;"",IF(NOT(ISBLANK(MINDS!Y$17)),MINDS!Y$17,""),"")</f>
        <v/>
      </c>
      <c r="Z28" t="str">
        <f>IF(Z$12&lt;&gt;"",IF(NOT(ISBLANK(MINDS!Z$17)),MINDS!Z$17,""),"")</f>
        <v/>
      </c>
      <c r="AA28" t="str">
        <f>IF(AA$12&lt;&gt;"",IF(NOT(ISBLANK(MINDS!AA$17)),MINDS!AA$17,""),"")</f>
        <v/>
      </c>
      <c r="AB28" t="str">
        <f>IF(AB$12&lt;&gt;"",IF(NOT(ISBLANK(MINDS!AB$17)),MINDS!AB$17,""),"")</f>
        <v/>
      </c>
      <c r="AC28" t="str">
        <f>IF(AC$12&lt;&gt;"",IF(NOT(ISBLANK(MINDS!AC$17)),MINDS!AC$17,""),"")</f>
        <v/>
      </c>
      <c r="AD28" t="str">
        <f>IF(AD$12&lt;&gt;"",IF(NOT(ISBLANK(MINDS!AD$17)),MINDS!AD$17,""),"")</f>
        <v/>
      </c>
      <c r="AE28" t="str">
        <f>IF(AE$12&lt;&gt;"",IF(NOT(ISBLANK(MINDS!AE$17)),MINDS!AE$17,""),"")</f>
        <v/>
      </c>
      <c r="AF28" t="str">
        <f>IF(AF$12&lt;&gt;"",IF(NOT(ISBLANK(MINDS!AF$17)),MINDS!AF$17,""),"")</f>
        <v/>
      </c>
      <c r="AG28" t="str">
        <f>IF(AG$12&lt;&gt;"",IF(NOT(ISBLANK(MINDS!AG$17)),MINDS!AG$17,""),"")</f>
        <v/>
      </c>
      <c r="AH28" t="str">
        <f>IF(AH$12&lt;&gt;"",IF(NOT(ISBLANK(MINDS!AH$17)),MINDS!AH$17,""),"")</f>
        <v/>
      </c>
    </row>
    <row r="29" spans="1:34" x14ac:dyDescent="0.25">
      <c r="A29" s="1" t="s">
        <v>23</v>
      </c>
      <c r="B29" s="2"/>
    </row>
    <row r="30" spans="1:34" x14ac:dyDescent="0.25">
      <c r="B30" s="2"/>
    </row>
    <row r="31" spans="1:34" x14ac:dyDescent="0.25">
      <c r="A31" s="3" t="s">
        <v>9</v>
      </c>
      <c r="B31" s="6">
        <v>1</v>
      </c>
    </row>
    <row r="32" spans="1:34" x14ac:dyDescent="0.25">
      <c r="A32" s="1" t="str">
        <f>A31&amp;"ID"</f>
        <v>SpecimenGroupID</v>
      </c>
      <c r="B32" s="2"/>
      <c r="C32" t="str">
        <f>IF(NOT(ISBLANK(MINDS!C$30)),MINDS!C$30,"")</f>
        <v/>
      </c>
      <c r="D32" t="str">
        <f>IF(NOT(ISBLANK(MINDS!D$30)),MINDS!D$30,"")</f>
        <v/>
      </c>
      <c r="E32" t="str">
        <f>IF(NOT(ISBLANK(MINDS!E$30)),MINDS!E$30,"")</f>
        <v/>
      </c>
      <c r="F32" t="str">
        <f>IF(NOT(ISBLANK(MINDS!F$30)),MINDS!F$30,"")</f>
        <v/>
      </c>
      <c r="G32" t="str">
        <f>IF(NOT(ISBLANK(MINDS!G$30)),MINDS!G$30,"")</f>
        <v/>
      </c>
      <c r="H32" t="str">
        <f>IF(NOT(ISBLANK(MINDS!H$30)),MINDS!H$30,"")</f>
        <v/>
      </c>
      <c r="I32" t="str">
        <f>IF(NOT(ISBLANK(MINDS!I$30)),MINDS!I$30,"")</f>
        <v/>
      </c>
      <c r="J32" t="str">
        <f>IF(NOT(ISBLANK(MINDS!J$30)),MINDS!J$30,"")</f>
        <v/>
      </c>
      <c r="K32" t="str">
        <f>IF(NOT(ISBLANK(MINDS!K$30)),MINDS!K$30,"")</f>
        <v/>
      </c>
      <c r="L32" t="str">
        <f>IF(NOT(ISBLANK(MINDS!L$30)),MINDS!L$30,"")</f>
        <v/>
      </c>
      <c r="M32" t="str">
        <f>IF(NOT(ISBLANK(MINDS!M$30)),MINDS!M$30,"")</f>
        <v/>
      </c>
      <c r="N32" t="str">
        <f>IF(NOT(ISBLANK(MINDS!N$30)),MINDS!N$30,"")</f>
        <v/>
      </c>
      <c r="O32" t="str">
        <f>IF(NOT(ISBLANK(MINDS!O$30)),MINDS!O$30,"")</f>
        <v/>
      </c>
      <c r="P32" t="str">
        <f>IF(NOT(ISBLANK(MINDS!P$30)),MINDS!P$30,"")</f>
        <v/>
      </c>
      <c r="Q32" t="str">
        <f>IF(NOT(ISBLANK(MINDS!Q$30)),MINDS!Q$30,"")</f>
        <v/>
      </c>
      <c r="R32" t="str">
        <f>IF(NOT(ISBLANK(MINDS!R$30)),MINDS!R$30,"")</f>
        <v/>
      </c>
      <c r="S32" t="str">
        <f>IF(NOT(ISBLANK(MINDS!S$30)),MINDS!S$30,"")</f>
        <v/>
      </c>
      <c r="T32" t="str">
        <f>IF(NOT(ISBLANK(MINDS!T$30)),MINDS!T$30,"")</f>
        <v/>
      </c>
      <c r="U32" t="str">
        <f>IF(NOT(ISBLANK(MINDS!U$30)),MINDS!U$30,"")</f>
        <v/>
      </c>
      <c r="V32" t="str">
        <f>IF(NOT(ISBLANK(MINDS!V$30)),MINDS!V$30,"")</f>
        <v/>
      </c>
      <c r="W32" t="str">
        <f>IF(NOT(ISBLANK(MINDS!W$30)),MINDS!W$30,"")</f>
        <v/>
      </c>
      <c r="X32" t="str">
        <f>IF(NOT(ISBLANK(MINDS!X$30)),MINDS!X$30,"")</f>
        <v/>
      </c>
      <c r="Y32" t="str">
        <f>IF(NOT(ISBLANK(MINDS!Y$30)),MINDS!Y$30,"")</f>
        <v/>
      </c>
      <c r="Z32" t="str">
        <f>IF(NOT(ISBLANK(MINDS!Z$30)),MINDS!Z$30,"")</f>
        <v/>
      </c>
      <c r="AA32" t="str">
        <f>IF(NOT(ISBLANK(MINDS!AA$30)),MINDS!AA$30,"")</f>
        <v/>
      </c>
      <c r="AB32" t="str">
        <f>IF(NOT(ISBLANK(MINDS!AB$30)),MINDS!AB$30,"")</f>
        <v/>
      </c>
      <c r="AC32" t="str">
        <f>IF(NOT(ISBLANK(MINDS!AC$30)),MINDS!AC$30,"")</f>
        <v/>
      </c>
      <c r="AD32" t="str">
        <f>IF(NOT(ISBLANK(MINDS!AD$30)),MINDS!AD$30,"")</f>
        <v/>
      </c>
      <c r="AE32" t="str">
        <f>IF(NOT(ISBLANK(MINDS!AE$30)),MINDS!AE$30,"")</f>
        <v/>
      </c>
      <c r="AF32" t="str">
        <f>IF(NOT(ISBLANK(MINDS!AF$30)),MINDS!AF$30,"")</f>
        <v/>
      </c>
      <c r="AG32" t="str">
        <f>IF(NOT(ISBLANK(MINDS!AG$30)),MINDS!AG$30,"")</f>
        <v/>
      </c>
      <c r="AH32" t="str">
        <f>IF(NOT(ISBLANK(MINDS!AH$30)),MINDS!AH$30,"")</f>
        <v/>
      </c>
    </row>
    <row r="33" spans="1:34" x14ac:dyDescent="0.25">
      <c r="B33" s="2"/>
    </row>
    <row r="34" spans="1:34" x14ac:dyDescent="0.25">
      <c r="A34" s="3" t="s">
        <v>24</v>
      </c>
      <c r="B34" s="6">
        <v>1</v>
      </c>
    </row>
    <row r="35" spans="1:34" x14ac:dyDescent="0.25">
      <c r="A35" s="1" t="s">
        <v>25</v>
      </c>
      <c r="B35" s="2"/>
      <c r="C35" t="str">
        <f>IF(NOT(ISBLANK(MINDS!C$45)),MINDS!C$45,"")</f>
        <v/>
      </c>
      <c r="D35" t="str">
        <f>IF(NOT(ISBLANK(MINDS!D$45)),MINDS!D$45,"")</f>
        <v/>
      </c>
      <c r="E35" t="str">
        <f>IF(NOT(ISBLANK(MINDS!E$45)),MINDS!E$45,"")</f>
        <v/>
      </c>
      <c r="F35" t="str">
        <f>IF(NOT(ISBLANK(MINDS!F$45)),MINDS!F$45,"")</f>
        <v/>
      </c>
      <c r="G35" t="str">
        <f>IF(NOT(ISBLANK(MINDS!G$45)),MINDS!G$45,"")</f>
        <v/>
      </c>
      <c r="H35" t="str">
        <f>IF(NOT(ISBLANK(MINDS!H$45)),MINDS!H$45,"")</f>
        <v/>
      </c>
      <c r="I35" t="str">
        <f>IF(NOT(ISBLANK(MINDS!I$45)),MINDS!I$45,"")</f>
        <v/>
      </c>
      <c r="J35" t="str">
        <f>IF(NOT(ISBLANK(MINDS!J$45)),MINDS!J$45,"")</f>
        <v/>
      </c>
      <c r="K35" t="str">
        <f>IF(NOT(ISBLANK(MINDS!K$45)),MINDS!K$45,"")</f>
        <v/>
      </c>
      <c r="L35" t="str">
        <f>IF(NOT(ISBLANK(MINDS!L$45)),MINDS!L$45,"")</f>
        <v/>
      </c>
      <c r="M35" t="str">
        <f>IF(NOT(ISBLANK(MINDS!M$45)),MINDS!M$45,"")</f>
        <v/>
      </c>
      <c r="N35" t="str">
        <f>IF(NOT(ISBLANK(MINDS!N$45)),MINDS!N$45,"")</f>
        <v/>
      </c>
      <c r="O35" t="str">
        <f>IF(NOT(ISBLANK(MINDS!O$45)),MINDS!O$45,"")</f>
        <v/>
      </c>
      <c r="P35" t="str">
        <f>IF(NOT(ISBLANK(MINDS!P$45)),MINDS!P$45,"")</f>
        <v/>
      </c>
      <c r="Q35" t="str">
        <f>IF(NOT(ISBLANK(MINDS!Q$45)),MINDS!Q$45,"")</f>
        <v/>
      </c>
      <c r="R35" t="str">
        <f>IF(NOT(ISBLANK(MINDS!R$45)),MINDS!R$45,"")</f>
        <v/>
      </c>
      <c r="S35" t="str">
        <f>IF(NOT(ISBLANK(MINDS!S$45)),MINDS!S$45,"")</f>
        <v/>
      </c>
      <c r="T35" t="str">
        <f>IF(NOT(ISBLANK(MINDS!T$45)),MINDS!T$45,"")</f>
        <v/>
      </c>
      <c r="U35" t="str">
        <f>IF(NOT(ISBLANK(MINDS!U$45)),MINDS!U$45,"")</f>
        <v/>
      </c>
      <c r="V35" t="str">
        <f>IF(NOT(ISBLANK(MINDS!V$45)),MINDS!V$45,"")</f>
        <v/>
      </c>
      <c r="W35" t="str">
        <f>IF(NOT(ISBLANK(MINDS!W$45)),MINDS!W$45,"")</f>
        <v/>
      </c>
      <c r="X35" t="str">
        <f>IF(NOT(ISBLANK(MINDS!X$45)),MINDS!X$45,"")</f>
        <v/>
      </c>
      <c r="Y35" t="str">
        <f>IF(NOT(ISBLANK(MINDS!Y$45)),MINDS!Y$45,"")</f>
        <v/>
      </c>
      <c r="Z35" t="str">
        <f>IF(NOT(ISBLANK(MINDS!Z$45)),MINDS!Z$45,"")</f>
        <v/>
      </c>
      <c r="AA35" t="str">
        <f>IF(NOT(ISBLANK(MINDS!AA$45)),MINDS!AA$45,"")</f>
        <v/>
      </c>
      <c r="AB35" t="str">
        <f>IF(NOT(ISBLANK(MINDS!AB$45)),MINDS!AB$45,"")</f>
        <v/>
      </c>
      <c r="AC35" t="str">
        <f>IF(NOT(ISBLANK(MINDS!AC$45)),MINDS!AC$45,"")</f>
        <v/>
      </c>
      <c r="AD35" t="str">
        <f>IF(NOT(ISBLANK(MINDS!AD$45)),MINDS!AD$45,"")</f>
        <v/>
      </c>
      <c r="AE35" t="str">
        <f>IF(NOT(ISBLANK(MINDS!AE$45)),MINDS!AE$45,"")</f>
        <v/>
      </c>
      <c r="AF35" t="str">
        <f>IF(NOT(ISBLANK(MINDS!AF$45)),MINDS!AF$45,"")</f>
        <v/>
      </c>
      <c r="AG35" t="str">
        <f>IF(NOT(ISBLANK(MINDS!AG$45)),MINDS!AG$45,"")</f>
        <v/>
      </c>
      <c r="AH35" t="str">
        <f>IF(NOT(ISBLANK(MINDS!AH$45)),MINDS!AH$45,"")</f>
        <v/>
      </c>
    </row>
    <row r="36" spans="1:34" x14ac:dyDescent="0.25">
      <c r="A36" s="1" t="s">
        <v>26</v>
      </c>
      <c r="B36" s="2"/>
      <c r="C36" t="str">
        <f>IF(C$35&lt;&gt;"",IF(NOT(ISBLANK(MINDS!C$46)),MINDS!C$46,""),"")</f>
        <v/>
      </c>
      <c r="D36" t="str">
        <f>IF(D$35&lt;&gt;"",IF(NOT(ISBLANK(MINDS!D$46)),MINDS!D$46,""),"")</f>
        <v/>
      </c>
      <c r="E36" t="str">
        <f>IF(E$35&lt;&gt;"",IF(NOT(ISBLANK(MINDS!E$46)),MINDS!E$46,""),"")</f>
        <v/>
      </c>
      <c r="F36" t="str">
        <f>IF(F$35&lt;&gt;"",IF(NOT(ISBLANK(MINDS!F$46)),MINDS!F$46,""),"")</f>
        <v/>
      </c>
      <c r="G36" t="str">
        <f>IF(G$35&lt;&gt;"",IF(NOT(ISBLANK(MINDS!G$46)),MINDS!G$46,""),"")</f>
        <v/>
      </c>
      <c r="H36" t="str">
        <f>IF(H$35&lt;&gt;"",IF(NOT(ISBLANK(MINDS!H$46)),MINDS!H$46,""),"")</f>
        <v/>
      </c>
      <c r="I36" t="str">
        <f>IF(I$35&lt;&gt;"",IF(NOT(ISBLANK(MINDS!I$46)),MINDS!I$46,""),"")</f>
        <v/>
      </c>
      <c r="J36" t="str">
        <f>IF(J$35&lt;&gt;"",IF(NOT(ISBLANK(MINDS!J$46)),MINDS!J$46,""),"")</f>
        <v/>
      </c>
      <c r="K36" t="str">
        <f>IF(K$35&lt;&gt;"",IF(NOT(ISBLANK(MINDS!K$46)),MINDS!K$46,""),"")</f>
        <v/>
      </c>
      <c r="L36" t="str">
        <f>IF(L$35&lt;&gt;"",IF(NOT(ISBLANK(MINDS!L$46)),MINDS!L$46,""),"")</f>
        <v/>
      </c>
      <c r="M36" t="str">
        <f>IF(M$35&lt;&gt;"",IF(NOT(ISBLANK(MINDS!M$46)),MINDS!M$46,""),"")</f>
        <v/>
      </c>
      <c r="N36" t="str">
        <f>IF(N$35&lt;&gt;"",IF(NOT(ISBLANK(MINDS!N$46)),MINDS!N$46,""),"")</f>
        <v/>
      </c>
      <c r="O36" t="str">
        <f>IF(O$35&lt;&gt;"",IF(NOT(ISBLANK(MINDS!O$46)),MINDS!O$46,""),"")</f>
        <v/>
      </c>
      <c r="P36" t="str">
        <f>IF(P$35&lt;&gt;"",IF(NOT(ISBLANK(MINDS!P$46)),MINDS!P$46,""),"")</f>
        <v/>
      </c>
      <c r="Q36" t="str">
        <f>IF(Q$35&lt;&gt;"",IF(NOT(ISBLANK(MINDS!Q$46)),MINDS!Q$46,""),"")</f>
        <v/>
      </c>
      <c r="R36" t="str">
        <f>IF(R$35&lt;&gt;"",IF(NOT(ISBLANK(MINDS!R$46)),MINDS!R$46,""),"")</f>
        <v/>
      </c>
      <c r="S36" t="str">
        <f>IF(S$35&lt;&gt;"",IF(NOT(ISBLANK(MINDS!S$46)),MINDS!S$46,""),"")</f>
        <v/>
      </c>
      <c r="T36" t="str">
        <f>IF(T$35&lt;&gt;"",IF(NOT(ISBLANK(MINDS!T$46)),MINDS!T$46,""),"")</f>
        <v/>
      </c>
      <c r="U36" t="str">
        <f>IF(U$35&lt;&gt;"",IF(NOT(ISBLANK(MINDS!U$46)),MINDS!U$46,""),"")</f>
        <v/>
      </c>
      <c r="V36" t="str">
        <f>IF(V$35&lt;&gt;"",IF(NOT(ISBLANK(MINDS!V$46)),MINDS!V$46,""),"")</f>
        <v/>
      </c>
      <c r="W36" t="str">
        <f>IF(W$35&lt;&gt;"",IF(NOT(ISBLANK(MINDS!W$46)),MINDS!W$46,""),"")</f>
        <v/>
      </c>
      <c r="X36" t="str">
        <f>IF(X$35&lt;&gt;"",IF(NOT(ISBLANK(MINDS!X$46)),MINDS!X$46,""),"")</f>
        <v/>
      </c>
      <c r="Y36" t="str">
        <f>IF(Y$35&lt;&gt;"",IF(NOT(ISBLANK(MINDS!Y$46)),MINDS!Y$46,""),"")</f>
        <v/>
      </c>
      <c r="Z36" t="str">
        <f>IF(Z$35&lt;&gt;"",IF(NOT(ISBLANK(MINDS!Z$46)),MINDS!Z$46,""),"")</f>
        <v/>
      </c>
      <c r="AA36" t="str">
        <f>IF(AA$35&lt;&gt;"",IF(NOT(ISBLANK(MINDS!AA$46)),MINDS!AA$46,""),"")</f>
        <v/>
      </c>
      <c r="AB36" t="str">
        <f>IF(AB$35&lt;&gt;"",IF(NOT(ISBLANK(MINDS!AB$46)),MINDS!AB$46,""),"")</f>
        <v/>
      </c>
      <c r="AC36" t="str">
        <f>IF(AC$35&lt;&gt;"",IF(NOT(ISBLANK(MINDS!AC$46)),MINDS!AC$46,""),"")</f>
        <v/>
      </c>
      <c r="AD36" t="str">
        <f>IF(AD$35&lt;&gt;"",IF(NOT(ISBLANK(MINDS!AD$46)),MINDS!AD$46,""),"")</f>
        <v/>
      </c>
      <c r="AE36" t="str">
        <f>IF(AE$35&lt;&gt;"",IF(NOT(ISBLANK(MINDS!AE$46)),MINDS!AE$46,""),"")</f>
        <v/>
      </c>
      <c r="AF36" t="str">
        <f>IF(AF$35&lt;&gt;"",IF(NOT(ISBLANK(MINDS!AF$46)),MINDS!AF$46,""),"")</f>
        <v/>
      </c>
      <c r="AG36" t="str">
        <f>IF(AG$35&lt;&gt;"",IF(NOT(ISBLANK(MINDS!AG$46)),MINDS!AG$46,""),"")</f>
        <v/>
      </c>
      <c r="AH36" t="str">
        <f>IF(AH$35&lt;&gt;"",IF(NOT(ISBLANK(MINDS!AH$46)),MINDS!AH$46,""),"")</f>
        <v/>
      </c>
    </row>
    <row r="37" spans="1:34" x14ac:dyDescent="0.25">
      <c r="A37" s="1" t="s">
        <v>27</v>
      </c>
      <c r="B37" s="2"/>
      <c r="C37" t="str">
        <f>IF(C$35&lt;&gt;"",IF(NOT(ISBLANK(MINDS!C$47)),MINDS!C$47,""),"")</f>
        <v/>
      </c>
      <c r="D37" t="str">
        <f>IF(D$35&lt;&gt;"",IF(NOT(ISBLANK(MINDS!D$47)),MINDS!D$47,""),"")</f>
        <v/>
      </c>
      <c r="E37" t="str">
        <f>IF(E$35&lt;&gt;"",IF(NOT(ISBLANK(MINDS!E$47)),MINDS!E$47,""),"")</f>
        <v/>
      </c>
      <c r="F37" t="str">
        <f>IF(F$35&lt;&gt;"",IF(NOT(ISBLANK(MINDS!F$47)),MINDS!F$47,""),"")</f>
        <v/>
      </c>
      <c r="G37" t="str">
        <f>IF(G$35&lt;&gt;"",IF(NOT(ISBLANK(MINDS!G$47)),MINDS!G$47,""),"")</f>
        <v/>
      </c>
      <c r="H37" t="str">
        <f>IF(H$35&lt;&gt;"",IF(NOT(ISBLANK(MINDS!H$47)),MINDS!H$47,""),"")</f>
        <v/>
      </c>
      <c r="I37" t="str">
        <f>IF(I$35&lt;&gt;"",IF(NOT(ISBLANK(MINDS!I$47)),MINDS!I$47,""),"")</f>
        <v/>
      </c>
      <c r="J37" t="str">
        <f>IF(J$35&lt;&gt;"",IF(NOT(ISBLANK(MINDS!J$47)),MINDS!J$47,""),"")</f>
        <v/>
      </c>
      <c r="K37" t="str">
        <f>IF(K$35&lt;&gt;"",IF(NOT(ISBLANK(MINDS!K$47)),MINDS!K$47,""),"")</f>
        <v/>
      </c>
      <c r="L37" t="str">
        <f>IF(L$35&lt;&gt;"",IF(NOT(ISBLANK(MINDS!L$47)),MINDS!L$47,""),"")</f>
        <v/>
      </c>
      <c r="M37" t="str">
        <f>IF(M$35&lt;&gt;"",IF(NOT(ISBLANK(MINDS!M$47)),MINDS!M$47,""),"")</f>
        <v/>
      </c>
      <c r="N37" t="str">
        <f>IF(N$35&lt;&gt;"",IF(NOT(ISBLANK(MINDS!N$47)),MINDS!N$47,""),"")</f>
        <v/>
      </c>
      <c r="O37" t="str">
        <f>IF(O$35&lt;&gt;"",IF(NOT(ISBLANK(MINDS!O$47)),MINDS!O$47,""),"")</f>
        <v/>
      </c>
      <c r="P37" t="str">
        <f>IF(P$35&lt;&gt;"",IF(NOT(ISBLANK(MINDS!P$47)),MINDS!P$47,""),"")</f>
        <v/>
      </c>
      <c r="Q37" t="str">
        <f>IF(Q$35&lt;&gt;"",IF(NOT(ISBLANK(MINDS!Q$47)),MINDS!Q$47,""),"")</f>
        <v/>
      </c>
      <c r="R37" t="str">
        <f>IF(R$35&lt;&gt;"",IF(NOT(ISBLANK(MINDS!R$47)),MINDS!R$47,""),"")</f>
        <v/>
      </c>
      <c r="S37" t="str">
        <f>IF(S$35&lt;&gt;"",IF(NOT(ISBLANK(MINDS!S$47)),MINDS!S$47,""),"")</f>
        <v/>
      </c>
      <c r="T37" t="str">
        <f>IF(T$35&lt;&gt;"",IF(NOT(ISBLANK(MINDS!T$47)),MINDS!T$47,""),"")</f>
        <v/>
      </c>
      <c r="U37" t="str">
        <f>IF(U$35&lt;&gt;"",IF(NOT(ISBLANK(MINDS!U$47)),MINDS!U$47,""),"")</f>
        <v/>
      </c>
      <c r="V37" t="str">
        <f>IF(V$35&lt;&gt;"",IF(NOT(ISBLANK(MINDS!V$47)),MINDS!V$47,""),"")</f>
        <v/>
      </c>
      <c r="W37" t="str">
        <f>IF(W$35&lt;&gt;"",IF(NOT(ISBLANK(MINDS!W$47)),MINDS!W$47,""),"")</f>
        <v/>
      </c>
      <c r="X37" t="str">
        <f>IF(X$35&lt;&gt;"",IF(NOT(ISBLANK(MINDS!X$47)),MINDS!X$47,""),"")</f>
        <v/>
      </c>
      <c r="Y37" t="str">
        <f>IF(Y$35&lt;&gt;"",IF(NOT(ISBLANK(MINDS!Y$47)),MINDS!Y$47,""),"")</f>
        <v/>
      </c>
      <c r="Z37" t="str">
        <f>IF(Z$35&lt;&gt;"",IF(NOT(ISBLANK(MINDS!Z$47)),MINDS!Z$47,""),"")</f>
        <v/>
      </c>
      <c r="AA37" t="str">
        <f>IF(AA$35&lt;&gt;"",IF(NOT(ISBLANK(MINDS!AA$47)),MINDS!AA$47,""),"")</f>
        <v/>
      </c>
      <c r="AB37" t="str">
        <f>IF(AB$35&lt;&gt;"",IF(NOT(ISBLANK(MINDS!AB$47)),MINDS!AB$47,""),"")</f>
        <v/>
      </c>
      <c r="AC37" t="str">
        <f>IF(AC$35&lt;&gt;"",IF(NOT(ISBLANK(MINDS!AC$47)),MINDS!AC$47,""),"")</f>
        <v/>
      </c>
      <c r="AD37" t="str">
        <f>IF(AD$35&lt;&gt;"",IF(NOT(ISBLANK(MINDS!AD$47)),MINDS!AD$47,""),"")</f>
        <v/>
      </c>
      <c r="AE37" t="str">
        <f>IF(AE$35&lt;&gt;"",IF(NOT(ISBLANK(MINDS!AE$47)),MINDS!AE$47,""),"")</f>
        <v/>
      </c>
      <c r="AF37" t="str">
        <f>IF(AF$35&lt;&gt;"",IF(NOT(ISBLANK(MINDS!AF$47)),MINDS!AF$47,""),"")</f>
        <v/>
      </c>
      <c r="AG37" t="str">
        <f>IF(AG$35&lt;&gt;"",IF(NOT(ISBLANK(MINDS!AG$47)),MINDS!AG$47,""),"")</f>
        <v/>
      </c>
      <c r="AH37" t="str">
        <f>IF(AH$35&lt;&gt;"",IF(NOT(ISBLANK(MINDS!AH$47)),MINDS!AH$47,""),"")</f>
        <v/>
      </c>
    </row>
    <row r="38" spans="1:34" x14ac:dyDescent="0.25">
      <c r="A38" s="1" t="s">
        <v>28</v>
      </c>
      <c r="B38" s="2"/>
      <c r="C38" t="str">
        <f>IF(C$35&lt;&gt;"",IF(NOT(ISBLANK(MINDS!C$48)),MINDS!C$48,""),"")</f>
        <v/>
      </c>
      <c r="D38" t="str">
        <f>IF(D$35&lt;&gt;"",IF(NOT(ISBLANK(MINDS!D$48)),MINDS!D$48,""),"")</f>
        <v/>
      </c>
      <c r="E38" t="str">
        <f>IF(E$35&lt;&gt;"",IF(NOT(ISBLANK(MINDS!E$48)),MINDS!E$48,""),"")</f>
        <v/>
      </c>
      <c r="F38" t="str">
        <f>IF(F$35&lt;&gt;"",IF(NOT(ISBLANK(MINDS!F$48)),MINDS!F$48,""),"")</f>
        <v/>
      </c>
      <c r="G38" t="str">
        <f>IF(G$35&lt;&gt;"",IF(NOT(ISBLANK(MINDS!G$48)),MINDS!G$48,""),"")</f>
        <v/>
      </c>
      <c r="H38" t="str">
        <f>IF(H$35&lt;&gt;"",IF(NOT(ISBLANK(MINDS!H$48)),MINDS!H$48,""),"")</f>
        <v/>
      </c>
      <c r="I38" t="str">
        <f>IF(I$35&lt;&gt;"",IF(NOT(ISBLANK(MINDS!I$48)),MINDS!I$48,""),"")</f>
        <v/>
      </c>
      <c r="J38" t="str">
        <f>IF(J$35&lt;&gt;"",IF(NOT(ISBLANK(MINDS!J$48)),MINDS!J$48,""),"")</f>
        <v/>
      </c>
      <c r="K38" t="str">
        <f>IF(K$35&lt;&gt;"",IF(NOT(ISBLANK(MINDS!K$48)),MINDS!K$48,""),"")</f>
        <v/>
      </c>
      <c r="L38" t="str">
        <f>IF(L$35&lt;&gt;"",IF(NOT(ISBLANK(MINDS!L$48)),MINDS!L$48,""),"")</f>
        <v/>
      </c>
      <c r="M38" t="str">
        <f>IF(M$35&lt;&gt;"",IF(NOT(ISBLANK(MINDS!M$48)),MINDS!M$48,""),"")</f>
        <v/>
      </c>
      <c r="N38" t="str">
        <f>IF(N$35&lt;&gt;"",IF(NOT(ISBLANK(MINDS!N$48)),MINDS!N$48,""),"")</f>
        <v/>
      </c>
      <c r="O38" t="str">
        <f>IF(O$35&lt;&gt;"",IF(NOT(ISBLANK(MINDS!O$48)),MINDS!O$48,""),"")</f>
        <v/>
      </c>
      <c r="P38" t="str">
        <f>IF(P$35&lt;&gt;"",IF(NOT(ISBLANK(MINDS!P$48)),MINDS!P$48,""),"")</f>
        <v/>
      </c>
      <c r="Q38" t="str">
        <f>IF(Q$35&lt;&gt;"",IF(NOT(ISBLANK(MINDS!Q$48)),MINDS!Q$48,""),"")</f>
        <v/>
      </c>
      <c r="R38" t="str">
        <f>IF(R$35&lt;&gt;"",IF(NOT(ISBLANK(MINDS!R$48)),MINDS!R$48,""),"")</f>
        <v/>
      </c>
      <c r="S38" t="str">
        <f>IF(S$35&lt;&gt;"",IF(NOT(ISBLANK(MINDS!S$48)),MINDS!S$48,""),"")</f>
        <v/>
      </c>
      <c r="T38" t="str">
        <f>IF(T$35&lt;&gt;"",IF(NOT(ISBLANK(MINDS!T$48)),MINDS!T$48,""),"")</f>
        <v/>
      </c>
      <c r="U38" t="str">
        <f>IF(U$35&lt;&gt;"",IF(NOT(ISBLANK(MINDS!U$48)),MINDS!U$48,""),"")</f>
        <v/>
      </c>
      <c r="V38" t="str">
        <f>IF(V$35&lt;&gt;"",IF(NOT(ISBLANK(MINDS!V$48)),MINDS!V$48,""),"")</f>
        <v/>
      </c>
      <c r="W38" t="str">
        <f>IF(W$35&lt;&gt;"",IF(NOT(ISBLANK(MINDS!W$48)),MINDS!W$48,""),"")</f>
        <v/>
      </c>
      <c r="X38" t="str">
        <f>IF(X$35&lt;&gt;"",IF(NOT(ISBLANK(MINDS!X$48)),MINDS!X$48,""),"")</f>
        <v/>
      </c>
      <c r="Y38" t="str">
        <f>IF(Y$35&lt;&gt;"",IF(NOT(ISBLANK(MINDS!Y$48)),MINDS!Y$48,""),"")</f>
        <v/>
      </c>
      <c r="Z38" t="str">
        <f>IF(Z$35&lt;&gt;"",IF(NOT(ISBLANK(MINDS!Z$48)),MINDS!Z$48,""),"")</f>
        <v/>
      </c>
      <c r="AA38" t="str">
        <f>IF(AA$35&lt;&gt;"",IF(NOT(ISBLANK(MINDS!AA$48)),MINDS!AA$48,""),"")</f>
        <v/>
      </c>
      <c r="AB38" t="str">
        <f>IF(AB$35&lt;&gt;"",IF(NOT(ISBLANK(MINDS!AB$48)),MINDS!AB$48,""),"")</f>
        <v/>
      </c>
      <c r="AC38" t="str">
        <f>IF(AC$35&lt;&gt;"",IF(NOT(ISBLANK(MINDS!AC$48)),MINDS!AC$48,""),"")</f>
        <v/>
      </c>
      <c r="AD38" t="str">
        <f>IF(AD$35&lt;&gt;"",IF(NOT(ISBLANK(MINDS!AD$48)),MINDS!AD$48,""),"")</f>
        <v/>
      </c>
      <c r="AE38" t="str">
        <f>IF(AE$35&lt;&gt;"",IF(NOT(ISBLANK(MINDS!AE$48)),MINDS!AE$48,""),"")</f>
        <v/>
      </c>
      <c r="AF38" t="str">
        <f>IF(AF$35&lt;&gt;"",IF(NOT(ISBLANK(MINDS!AF$48)),MINDS!AF$48,""),"")</f>
        <v/>
      </c>
      <c r="AG38" t="str">
        <f>IF(AG$35&lt;&gt;"",IF(NOT(ISBLANK(MINDS!AG$48)),MINDS!AG$48,""),"")</f>
        <v/>
      </c>
      <c r="AH38" t="str">
        <f>IF(AH$35&lt;&gt;"",IF(NOT(ISBLANK(MINDS!AH$48)),MINDS!AH$48,""),"")</f>
        <v/>
      </c>
    </row>
    <row r="39" spans="1:34" x14ac:dyDescent="0.25">
      <c r="A39" s="1" t="s">
        <v>29</v>
      </c>
      <c r="B39" s="2"/>
      <c r="C39" t="str">
        <f>IF(C$35&lt;&gt;"",IF(NOT(ISBLANK(MINDS!C$49)),MINDS!C$49,""),"")</f>
        <v/>
      </c>
      <c r="D39" t="str">
        <f>IF(D$35&lt;&gt;"",IF(NOT(ISBLANK(MINDS!D$49)),MINDS!D$49,""),"")</f>
        <v/>
      </c>
      <c r="E39" t="str">
        <f>IF(E$35&lt;&gt;"",IF(NOT(ISBLANK(MINDS!E$49)),MINDS!E$49,""),"")</f>
        <v/>
      </c>
      <c r="F39" t="str">
        <f>IF(F$35&lt;&gt;"",IF(NOT(ISBLANK(MINDS!F$49)),MINDS!F$49,""),"")</f>
        <v/>
      </c>
      <c r="G39" t="str">
        <f>IF(G$35&lt;&gt;"",IF(NOT(ISBLANK(MINDS!G$49)),MINDS!G$49,""),"")</f>
        <v/>
      </c>
      <c r="H39" t="str">
        <f>IF(H$35&lt;&gt;"",IF(NOT(ISBLANK(MINDS!H$49)),MINDS!H$49,""),"")</f>
        <v/>
      </c>
      <c r="I39" t="str">
        <f>IF(I$35&lt;&gt;"",IF(NOT(ISBLANK(MINDS!I$49)),MINDS!I$49,""),"")</f>
        <v/>
      </c>
      <c r="J39" t="str">
        <f>IF(J$35&lt;&gt;"",IF(NOT(ISBLANK(MINDS!J$49)),MINDS!J$49,""),"")</f>
        <v/>
      </c>
      <c r="K39" t="str">
        <f>IF(K$35&lt;&gt;"",IF(NOT(ISBLANK(MINDS!K$49)),MINDS!K$49,""),"")</f>
        <v/>
      </c>
      <c r="L39" t="str">
        <f>IF(L$35&lt;&gt;"",IF(NOT(ISBLANK(MINDS!L$49)),MINDS!L$49,""),"")</f>
        <v/>
      </c>
      <c r="M39" t="str">
        <f>IF(M$35&lt;&gt;"",IF(NOT(ISBLANK(MINDS!M$49)),MINDS!M$49,""),"")</f>
        <v/>
      </c>
      <c r="N39" t="str">
        <f>IF(N$35&lt;&gt;"",IF(NOT(ISBLANK(MINDS!N$49)),MINDS!N$49,""),"")</f>
        <v/>
      </c>
      <c r="O39" t="str">
        <f>IF(O$35&lt;&gt;"",IF(NOT(ISBLANK(MINDS!O$49)),MINDS!O$49,""),"")</f>
        <v/>
      </c>
      <c r="P39" t="str">
        <f>IF(P$35&lt;&gt;"",IF(NOT(ISBLANK(MINDS!P$49)),MINDS!P$49,""),"")</f>
        <v/>
      </c>
      <c r="Q39" t="str">
        <f>IF(Q$35&lt;&gt;"",IF(NOT(ISBLANK(MINDS!Q$49)),MINDS!Q$49,""),"")</f>
        <v/>
      </c>
      <c r="R39" t="str">
        <f>IF(R$35&lt;&gt;"",IF(NOT(ISBLANK(MINDS!R$49)),MINDS!R$49,""),"")</f>
        <v/>
      </c>
      <c r="S39" t="str">
        <f>IF(S$35&lt;&gt;"",IF(NOT(ISBLANK(MINDS!S$49)),MINDS!S$49,""),"")</f>
        <v/>
      </c>
      <c r="T39" t="str">
        <f>IF(T$35&lt;&gt;"",IF(NOT(ISBLANK(MINDS!T$49)),MINDS!T$49,""),"")</f>
        <v/>
      </c>
      <c r="U39" t="str">
        <f>IF(U$35&lt;&gt;"",IF(NOT(ISBLANK(MINDS!U$49)),MINDS!U$49,""),"")</f>
        <v/>
      </c>
      <c r="V39" t="str">
        <f>IF(V$35&lt;&gt;"",IF(NOT(ISBLANK(MINDS!V$49)),MINDS!V$49,""),"")</f>
        <v/>
      </c>
      <c r="W39" t="str">
        <f>IF(W$35&lt;&gt;"",IF(NOT(ISBLANK(MINDS!W$49)),MINDS!W$49,""),"")</f>
        <v/>
      </c>
      <c r="X39" t="str">
        <f>IF(X$35&lt;&gt;"",IF(NOT(ISBLANK(MINDS!X$49)),MINDS!X$49,""),"")</f>
        <v/>
      </c>
      <c r="Y39" t="str">
        <f>IF(Y$35&lt;&gt;"",IF(NOT(ISBLANK(MINDS!Y$49)),MINDS!Y$49,""),"")</f>
        <v/>
      </c>
      <c r="Z39" t="str">
        <f>IF(Z$35&lt;&gt;"",IF(NOT(ISBLANK(MINDS!Z$49)),MINDS!Z$49,""),"")</f>
        <v/>
      </c>
      <c r="AA39" t="str">
        <f>IF(AA$35&lt;&gt;"",IF(NOT(ISBLANK(MINDS!AA$49)),MINDS!AA$49,""),"")</f>
        <v/>
      </c>
      <c r="AB39" t="str">
        <f>IF(AB$35&lt;&gt;"",IF(NOT(ISBLANK(MINDS!AB$49)),MINDS!AB$49,""),"")</f>
        <v/>
      </c>
      <c r="AC39" t="str">
        <f>IF(AC$35&lt;&gt;"",IF(NOT(ISBLANK(MINDS!AC$49)),MINDS!AC$49,""),"")</f>
        <v/>
      </c>
      <c r="AD39" t="str">
        <f>IF(AD$35&lt;&gt;"",IF(NOT(ISBLANK(MINDS!AD$49)),MINDS!AD$49,""),"")</f>
        <v/>
      </c>
      <c r="AE39" t="str">
        <f>IF(AE$35&lt;&gt;"",IF(NOT(ISBLANK(MINDS!AE$49)),MINDS!AE$49,""),"")</f>
        <v/>
      </c>
      <c r="AF39" t="str">
        <f>IF(AF$35&lt;&gt;"",IF(NOT(ISBLANK(MINDS!AF$49)),MINDS!AF$49,""),"")</f>
        <v/>
      </c>
      <c r="AG39" t="str">
        <f>IF(AG$35&lt;&gt;"",IF(NOT(ISBLANK(MINDS!AG$49)),MINDS!AG$49,""),"")</f>
        <v/>
      </c>
      <c r="AH39" t="str">
        <f>IF(AH$35&lt;&gt;"",IF(NOT(ISBLANK(MINDS!AH$49)),MINDS!AH$49,""),"")</f>
        <v/>
      </c>
    </row>
    <row r="40" spans="1:34" x14ac:dyDescent="0.25">
      <c r="A40" s="1" t="s">
        <v>30</v>
      </c>
      <c r="B40" s="2"/>
      <c r="C40" t="str">
        <f>IF(C$35&lt;&gt;"",IF(NOT(ISBLANK(MINDS!C$50)),MINDS!C$50,""),"")</f>
        <v/>
      </c>
      <c r="D40" t="str">
        <f>IF(D$35&lt;&gt;"",IF(NOT(ISBLANK(MINDS!D$50)),MINDS!D$50,""),"")</f>
        <v/>
      </c>
      <c r="E40" t="str">
        <f>IF(E$35&lt;&gt;"",IF(NOT(ISBLANK(MINDS!E$50)),MINDS!E$50,""),"")</f>
        <v/>
      </c>
      <c r="F40" t="str">
        <f>IF(F$35&lt;&gt;"",IF(NOT(ISBLANK(MINDS!F$50)),MINDS!F$50,""),"")</f>
        <v/>
      </c>
      <c r="G40" t="str">
        <f>IF(G$35&lt;&gt;"",IF(NOT(ISBLANK(MINDS!G$50)),MINDS!G$50,""),"")</f>
        <v/>
      </c>
      <c r="H40" t="str">
        <f>IF(H$35&lt;&gt;"",IF(NOT(ISBLANK(MINDS!H$50)),MINDS!H$50,""),"")</f>
        <v/>
      </c>
      <c r="I40" t="str">
        <f>IF(I$35&lt;&gt;"",IF(NOT(ISBLANK(MINDS!I$50)),MINDS!I$50,""),"")</f>
        <v/>
      </c>
      <c r="J40" t="str">
        <f>IF(J$35&lt;&gt;"",IF(NOT(ISBLANK(MINDS!J$50)),MINDS!J$50,""),"")</f>
        <v/>
      </c>
      <c r="K40" t="str">
        <f>IF(K$35&lt;&gt;"",IF(NOT(ISBLANK(MINDS!K$50)),MINDS!K$50,""),"")</f>
        <v/>
      </c>
      <c r="L40" t="str">
        <f>IF(L$35&lt;&gt;"",IF(NOT(ISBLANK(MINDS!L$50)),MINDS!L$50,""),"")</f>
        <v/>
      </c>
      <c r="M40" t="str">
        <f>IF(M$35&lt;&gt;"",IF(NOT(ISBLANK(MINDS!M$50)),MINDS!M$50,""),"")</f>
        <v/>
      </c>
      <c r="N40" t="str">
        <f>IF(N$35&lt;&gt;"",IF(NOT(ISBLANK(MINDS!N$50)),MINDS!N$50,""),"")</f>
        <v/>
      </c>
      <c r="O40" t="str">
        <f>IF(O$35&lt;&gt;"",IF(NOT(ISBLANK(MINDS!O$50)),MINDS!O$50,""),"")</f>
        <v/>
      </c>
      <c r="P40" t="str">
        <f>IF(P$35&lt;&gt;"",IF(NOT(ISBLANK(MINDS!P$50)),MINDS!P$50,""),"")</f>
        <v/>
      </c>
      <c r="Q40" t="str">
        <f>IF(Q$35&lt;&gt;"",IF(NOT(ISBLANK(MINDS!Q$50)),MINDS!Q$50,""),"")</f>
        <v/>
      </c>
      <c r="R40" t="str">
        <f>IF(R$35&lt;&gt;"",IF(NOT(ISBLANK(MINDS!R$50)),MINDS!R$50,""),"")</f>
        <v/>
      </c>
      <c r="S40" t="str">
        <f>IF(S$35&lt;&gt;"",IF(NOT(ISBLANK(MINDS!S$50)),MINDS!S$50,""),"")</f>
        <v/>
      </c>
      <c r="T40" t="str">
        <f>IF(T$35&lt;&gt;"",IF(NOT(ISBLANK(MINDS!T$50)),MINDS!T$50,""),"")</f>
        <v/>
      </c>
      <c r="U40" t="str">
        <f>IF(U$35&lt;&gt;"",IF(NOT(ISBLANK(MINDS!U$50)),MINDS!U$50,""),"")</f>
        <v/>
      </c>
      <c r="V40" t="str">
        <f>IF(V$35&lt;&gt;"",IF(NOT(ISBLANK(MINDS!V$50)),MINDS!V$50,""),"")</f>
        <v/>
      </c>
      <c r="W40" t="str">
        <f>IF(W$35&lt;&gt;"",IF(NOT(ISBLANK(MINDS!W$50)),MINDS!W$50,""),"")</f>
        <v/>
      </c>
      <c r="X40" t="str">
        <f>IF(X$35&lt;&gt;"",IF(NOT(ISBLANK(MINDS!X$50)),MINDS!X$50,""),"")</f>
        <v/>
      </c>
      <c r="Y40" t="str">
        <f>IF(Y$35&lt;&gt;"",IF(NOT(ISBLANK(MINDS!Y$50)),MINDS!Y$50,""),"")</f>
        <v/>
      </c>
      <c r="Z40" t="str">
        <f>IF(Z$35&lt;&gt;"",IF(NOT(ISBLANK(MINDS!Z$50)),MINDS!Z$50,""),"")</f>
        <v/>
      </c>
      <c r="AA40" t="str">
        <f>IF(AA$35&lt;&gt;"",IF(NOT(ISBLANK(MINDS!AA$50)),MINDS!AA$50,""),"")</f>
        <v/>
      </c>
      <c r="AB40" t="str">
        <f>IF(AB$35&lt;&gt;"",IF(NOT(ISBLANK(MINDS!AB$50)),MINDS!AB$50,""),"")</f>
        <v/>
      </c>
      <c r="AC40" t="str">
        <f>IF(AC$35&lt;&gt;"",IF(NOT(ISBLANK(MINDS!AC$50)),MINDS!AC$50,""),"")</f>
        <v/>
      </c>
      <c r="AD40" t="str">
        <f>IF(AD$35&lt;&gt;"",IF(NOT(ISBLANK(MINDS!AD$50)),MINDS!AD$50,""),"")</f>
        <v/>
      </c>
      <c r="AE40" t="str">
        <f>IF(AE$35&lt;&gt;"",IF(NOT(ISBLANK(MINDS!AE$50)),MINDS!AE$50,""),"")</f>
        <v/>
      </c>
      <c r="AF40" t="str">
        <f>IF(AF$35&lt;&gt;"",IF(NOT(ISBLANK(MINDS!AF$50)),MINDS!AF$50,""),"")</f>
        <v/>
      </c>
      <c r="AG40" t="str">
        <f>IF(AG$35&lt;&gt;"",IF(NOT(ISBLANK(MINDS!AG$50)),MINDS!AG$50,""),"")</f>
        <v/>
      </c>
      <c r="AH40" t="str">
        <f>IF(AH$35&lt;&gt;"",IF(NOT(ISBLANK(MINDS!AH$50)),MINDS!AH$50,""),"")</f>
        <v/>
      </c>
    </row>
    <row r="41" spans="1:34" x14ac:dyDescent="0.25">
      <c r="A41" s="1" t="s">
        <v>31</v>
      </c>
      <c r="B41" s="2"/>
      <c r="C41" t="str">
        <f>IF(C$35&lt;&gt;"",IF(NOT(ISBLANK(MINDS!C$51)),MINDS!C$51,""),"")</f>
        <v/>
      </c>
      <c r="D41" t="str">
        <f>IF(D$35&lt;&gt;"",IF(NOT(ISBLANK(MINDS!D$51)),MINDS!D$51,""),"")</f>
        <v/>
      </c>
      <c r="E41" t="str">
        <f>IF(E$35&lt;&gt;"",IF(NOT(ISBLANK(MINDS!E$51)),MINDS!E$51,""),"")</f>
        <v/>
      </c>
      <c r="F41" t="str">
        <f>IF(F$35&lt;&gt;"",IF(NOT(ISBLANK(MINDS!F$51)),MINDS!F$51,""),"")</f>
        <v/>
      </c>
      <c r="G41" t="str">
        <f>IF(G$35&lt;&gt;"",IF(NOT(ISBLANK(MINDS!G$51)),MINDS!G$51,""),"")</f>
        <v/>
      </c>
      <c r="H41" t="str">
        <f>IF(H$35&lt;&gt;"",IF(NOT(ISBLANK(MINDS!H$51)),MINDS!H$51,""),"")</f>
        <v/>
      </c>
      <c r="I41" t="str">
        <f>IF(I$35&lt;&gt;"",IF(NOT(ISBLANK(MINDS!I$51)),MINDS!I$51,""),"")</f>
        <v/>
      </c>
      <c r="J41" t="str">
        <f>IF(J$35&lt;&gt;"",IF(NOT(ISBLANK(MINDS!J$51)),MINDS!J$51,""),"")</f>
        <v/>
      </c>
      <c r="K41" t="str">
        <f>IF(K$35&lt;&gt;"",IF(NOT(ISBLANK(MINDS!K$51)),MINDS!K$51,""),"")</f>
        <v/>
      </c>
      <c r="L41" t="str">
        <f>IF(L$35&lt;&gt;"",IF(NOT(ISBLANK(MINDS!L$51)),MINDS!L$51,""),"")</f>
        <v/>
      </c>
      <c r="M41" t="str">
        <f>IF(M$35&lt;&gt;"",IF(NOT(ISBLANK(MINDS!M$51)),MINDS!M$51,""),"")</f>
        <v/>
      </c>
      <c r="N41" t="str">
        <f>IF(N$35&lt;&gt;"",IF(NOT(ISBLANK(MINDS!N$51)),MINDS!N$51,""),"")</f>
        <v/>
      </c>
      <c r="O41" t="str">
        <f>IF(O$35&lt;&gt;"",IF(NOT(ISBLANK(MINDS!O$51)),MINDS!O$51,""),"")</f>
        <v/>
      </c>
      <c r="P41" t="str">
        <f>IF(P$35&lt;&gt;"",IF(NOT(ISBLANK(MINDS!P$51)),MINDS!P$51,""),"")</f>
        <v/>
      </c>
      <c r="Q41" t="str">
        <f>IF(Q$35&lt;&gt;"",IF(NOT(ISBLANK(MINDS!Q$51)),MINDS!Q$51,""),"")</f>
        <v/>
      </c>
      <c r="R41" t="str">
        <f>IF(R$35&lt;&gt;"",IF(NOT(ISBLANK(MINDS!R$51)),MINDS!R$51,""),"")</f>
        <v/>
      </c>
      <c r="S41" t="str">
        <f>IF(S$35&lt;&gt;"",IF(NOT(ISBLANK(MINDS!S$51)),MINDS!S$51,""),"")</f>
        <v/>
      </c>
      <c r="T41" t="str">
        <f>IF(T$35&lt;&gt;"",IF(NOT(ISBLANK(MINDS!T$51)),MINDS!T$51,""),"")</f>
        <v/>
      </c>
      <c r="U41" t="str">
        <f>IF(U$35&lt;&gt;"",IF(NOT(ISBLANK(MINDS!U$51)),MINDS!U$51,""),"")</f>
        <v/>
      </c>
      <c r="V41" t="str">
        <f>IF(V$35&lt;&gt;"",IF(NOT(ISBLANK(MINDS!V$51)),MINDS!V$51,""),"")</f>
        <v/>
      </c>
      <c r="W41" t="str">
        <f>IF(W$35&lt;&gt;"",IF(NOT(ISBLANK(MINDS!W$51)),MINDS!W$51,""),"")</f>
        <v/>
      </c>
      <c r="X41" t="str">
        <f>IF(X$35&lt;&gt;"",IF(NOT(ISBLANK(MINDS!X$51)),MINDS!X$51,""),"")</f>
        <v/>
      </c>
      <c r="Y41" t="str">
        <f>IF(Y$35&lt;&gt;"",IF(NOT(ISBLANK(MINDS!Y$51)),MINDS!Y$51,""),"")</f>
        <v/>
      </c>
      <c r="Z41" t="str">
        <f>IF(Z$35&lt;&gt;"",IF(NOT(ISBLANK(MINDS!Z$51)),MINDS!Z$51,""),"")</f>
        <v/>
      </c>
      <c r="AA41" t="str">
        <f>IF(AA$35&lt;&gt;"",IF(NOT(ISBLANK(MINDS!AA$51)),MINDS!AA$51,""),"")</f>
        <v/>
      </c>
      <c r="AB41" t="str">
        <f>IF(AB$35&lt;&gt;"",IF(NOT(ISBLANK(MINDS!AB$51)),MINDS!AB$51,""),"")</f>
        <v/>
      </c>
      <c r="AC41" t="str">
        <f>IF(AC$35&lt;&gt;"",IF(NOT(ISBLANK(MINDS!AC$51)),MINDS!AC$51,""),"")</f>
        <v/>
      </c>
      <c r="AD41" t="str">
        <f>IF(AD$35&lt;&gt;"",IF(NOT(ISBLANK(MINDS!AD$51)),MINDS!AD$51,""),"")</f>
        <v/>
      </c>
      <c r="AE41" t="str">
        <f>IF(AE$35&lt;&gt;"",IF(NOT(ISBLANK(MINDS!AE$51)),MINDS!AE$51,""),"")</f>
        <v/>
      </c>
      <c r="AF41" t="str">
        <f>IF(AF$35&lt;&gt;"",IF(NOT(ISBLANK(MINDS!AF$51)),MINDS!AF$51,""),"")</f>
        <v/>
      </c>
      <c r="AG41" t="str">
        <f>IF(AG$35&lt;&gt;"",IF(NOT(ISBLANK(MINDS!AG$51)),MINDS!AG$51,""),"")</f>
        <v/>
      </c>
      <c r="AH41" t="str">
        <f>IF(AH$35&lt;&gt;"",IF(NOT(ISBLANK(MINDS!AH$51)),MINDS!AH$51,""),"")</f>
        <v/>
      </c>
    </row>
    <row r="42" spans="1:34" x14ac:dyDescent="0.25">
      <c r="A42" s="1" t="s">
        <v>32</v>
      </c>
      <c r="B42" s="2"/>
      <c r="C42" t="str">
        <f>IF(C$35&lt;&gt;"",IF(NOT(ISBLANK(MINDS!C$52)),MINDS!C$52,""),"")</f>
        <v/>
      </c>
      <c r="D42" t="str">
        <f>IF(D$35&lt;&gt;"",IF(NOT(ISBLANK(MINDS!D$52)),MINDS!D$52,""),"")</f>
        <v/>
      </c>
      <c r="E42" t="str">
        <f>IF(E$35&lt;&gt;"",IF(NOT(ISBLANK(MINDS!E$52)),MINDS!E$52,""),"")</f>
        <v/>
      </c>
      <c r="F42" t="str">
        <f>IF(F$35&lt;&gt;"",IF(NOT(ISBLANK(MINDS!F$52)),MINDS!F$52,""),"")</f>
        <v/>
      </c>
      <c r="G42" t="str">
        <f>IF(G$35&lt;&gt;"",IF(NOT(ISBLANK(MINDS!G$52)),MINDS!G$52,""),"")</f>
        <v/>
      </c>
      <c r="H42" t="str">
        <f>IF(H$35&lt;&gt;"",IF(NOT(ISBLANK(MINDS!H$52)),MINDS!H$52,""),"")</f>
        <v/>
      </c>
      <c r="I42" t="str">
        <f>IF(I$35&lt;&gt;"",IF(NOT(ISBLANK(MINDS!I$52)),MINDS!I$52,""),"")</f>
        <v/>
      </c>
      <c r="J42" t="str">
        <f>IF(J$35&lt;&gt;"",IF(NOT(ISBLANK(MINDS!J$52)),MINDS!J$52,""),"")</f>
        <v/>
      </c>
      <c r="K42" t="str">
        <f>IF(K$35&lt;&gt;"",IF(NOT(ISBLANK(MINDS!K$52)),MINDS!K$52,""),"")</f>
        <v/>
      </c>
      <c r="L42" t="str">
        <f>IF(L$35&lt;&gt;"",IF(NOT(ISBLANK(MINDS!L$52)),MINDS!L$52,""),"")</f>
        <v/>
      </c>
      <c r="M42" t="str">
        <f>IF(M$35&lt;&gt;"",IF(NOT(ISBLANK(MINDS!M$52)),MINDS!M$52,""),"")</f>
        <v/>
      </c>
      <c r="N42" t="str">
        <f>IF(N$35&lt;&gt;"",IF(NOT(ISBLANK(MINDS!N$52)),MINDS!N$52,""),"")</f>
        <v/>
      </c>
      <c r="O42" t="str">
        <f>IF(O$35&lt;&gt;"",IF(NOT(ISBLANK(MINDS!O$52)),MINDS!O$52,""),"")</f>
        <v/>
      </c>
      <c r="P42" t="str">
        <f>IF(P$35&lt;&gt;"",IF(NOT(ISBLANK(MINDS!P$52)),MINDS!P$52,""),"")</f>
        <v/>
      </c>
      <c r="Q42" t="str">
        <f>IF(Q$35&lt;&gt;"",IF(NOT(ISBLANK(MINDS!Q$52)),MINDS!Q$52,""),"")</f>
        <v/>
      </c>
      <c r="R42" t="str">
        <f>IF(R$35&lt;&gt;"",IF(NOT(ISBLANK(MINDS!R$52)),MINDS!R$52,""),"")</f>
        <v/>
      </c>
      <c r="S42" t="str">
        <f>IF(S$35&lt;&gt;"",IF(NOT(ISBLANK(MINDS!S$52)),MINDS!S$52,""),"")</f>
        <v/>
      </c>
      <c r="T42" t="str">
        <f>IF(T$35&lt;&gt;"",IF(NOT(ISBLANK(MINDS!T$52)),MINDS!T$52,""),"")</f>
        <v/>
      </c>
      <c r="U42" t="str">
        <f>IF(U$35&lt;&gt;"",IF(NOT(ISBLANK(MINDS!U$52)),MINDS!U$52,""),"")</f>
        <v/>
      </c>
      <c r="V42" t="str">
        <f>IF(V$35&lt;&gt;"",IF(NOT(ISBLANK(MINDS!V$52)),MINDS!V$52,""),"")</f>
        <v/>
      </c>
      <c r="W42" t="str">
        <f>IF(W$35&lt;&gt;"",IF(NOT(ISBLANK(MINDS!W$52)),MINDS!W$52,""),"")</f>
        <v/>
      </c>
      <c r="X42" t="str">
        <f>IF(X$35&lt;&gt;"",IF(NOT(ISBLANK(MINDS!X$52)),MINDS!X$52,""),"")</f>
        <v/>
      </c>
      <c r="Y42" t="str">
        <f>IF(Y$35&lt;&gt;"",IF(NOT(ISBLANK(MINDS!Y$52)),MINDS!Y$52,""),"")</f>
        <v/>
      </c>
      <c r="Z42" t="str">
        <f>IF(Z$35&lt;&gt;"",IF(NOT(ISBLANK(MINDS!Z$52)),MINDS!Z$52,""),"")</f>
        <v/>
      </c>
      <c r="AA42" t="str">
        <f>IF(AA$35&lt;&gt;"",IF(NOT(ISBLANK(MINDS!AA$52)),MINDS!AA$52,""),"")</f>
        <v/>
      </c>
      <c r="AB42" t="str">
        <f>IF(AB$35&lt;&gt;"",IF(NOT(ISBLANK(MINDS!AB$52)),MINDS!AB$52,""),"")</f>
        <v/>
      </c>
      <c r="AC42" t="str">
        <f>IF(AC$35&lt;&gt;"",IF(NOT(ISBLANK(MINDS!AC$52)),MINDS!AC$52,""),"")</f>
        <v/>
      </c>
      <c r="AD42" t="str">
        <f>IF(AD$35&lt;&gt;"",IF(NOT(ISBLANK(MINDS!AD$52)),MINDS!AD$52,""),"")</f>
        <v/>
      </c>
      <c r="AE42" t="str">
        <f>IF(AE$35&lt;&gt;"",IF(NOT(ISBLANK(MINDS!AE$52)),MINDS!AE$52,""),"")</f>
        <v/>
      </c>
      <c r="AF42" t="str">
        <f>IF(AF$35&lt;&gt;"",IF(NOT(ISBLANK(MINDS!AF$52)),MINDS!AF$52,""),"")</f>
        <v/>
      </c>
      <c r="AG42" t="str">
        <f>IF(AG$35&lt;&gt;"",IF(NOT(ISBLANK(MINDS!AG$52)),MINDS!AG$52,""),"")</f>
        <v/>
      </c>
      <c r="AH42" t="str">
        <f>IF(AH$35&lt;&gt;"",IF(NOT(ISBLANK(MINDS!AH$52)),MINDS!AH$52,""),"")</f>
        <v/>
      </c>
    </row>
    <row r="43" spans="1:34" x14ac:dyDescent="0.25">
      <c r="B43" s="2"/>
    </row>
    <row r="44" spans="1:34" x14ac:dyDescent="0.25">
      <c r="A44" s="3" t="s">
        <v>33</v>
      </c>
      <c r="B44" s="6">
        <v>1</v>
      </c>
    </row>
    <row r="45" spans="1:34" x14ac:dyDescent="0.25">
      <c r="A45" s="1" t="s">
        <v>34</v>
      </c>
      <c r="B45" s="2"/>
      <c r="C45" t="str">
        <f>IF(NOT(ISBLANK(MINDS!C$56)),MINDS!C$55&amp;"."&amp;MINDS!C$56,"")</f>
        <v/>
      </c>
      <c r="D45" t="str">
        <f>IF(NOT(ISBLANK(MINDS!D$56)),MINDS!D$55&amp;"."&amp;MINDS!D$56,"")</f>
        <v/>
      </c>
      <c r="E45" t="str">
        <f>IF(NOT(ISBLANK(MINDS!E$56)),MINDS!E$55&amp;"."&amp;MINDS!E$56,"")</f>
        <v/>
      </c>
      <c r="F45" t="str">
        <f>IF(NOT(ISBLANK(MINDS!F$56)),MINDS!F$55&amp;"."&amp;MINDS!F$56,"")</f>
        <v/>
      </c>
      <c r="G45" t="str">
        <f>IF(NOT(ISBLANK(MINDS!G$56)),MINDS!G$55&amp;"."&amp;MINDS!G$56,"")</f>
        <v/>
      </c>
      <c r="H45" t="str">
        <f>IF(NOT(ISBLANK(MINDS!H$56)),MINDS!H$55&amp;"."&amp;MINDS!H$56,"")</f>
        <v/>
      </c>
      <c r="I45" t="str">
        <f>IF(NOT(ISBLANK(MINDS!I$56)),MINDS!I$55&amp;"."&amp;MINDS!I$56,"")</f>
        <v/>
      </c>
      <c r="J45" t="str">
        <f>IF(NOT(ISBLANK(MINDS!J$56)),MINDS!J$55&amp;"."&amp;MINDS!J$56,"")</f>
        <v/>
      </c>
      <c r="K45" t="str">
        <f>IF(NOT(ISBLANK(MINDS!K$56)),MINDS!K$55&amp;"."&amp;MINDS!K$56,"")</f>
        <v/>
      </c>
      <c r="L45" t="str">
        <f>IF(NOT(ISBLANK(MINDS!L$56)),MINDS!L$55&amp;"."&amp;MINDS!L$56,"")</f>
        <v/>
      </c>
      <c r="M45" t="str">
        <f>IF(NOT(ISBLANK(MINDS!M$56)),MINDS!M$55&amp;"."&amp;MINDS!M$56,"")</f>
        <v/>
      </c>
      <c r="N45" t="str">
        <f>IF(NOT(ISBLANK(MINDS!N$56)),MINDS!N$55&amp;"."&amp;MINDS!N$56,"")</f>
        <v/>
      </c>
      <c r="O45" t="str">
        <f>IF(NOT(ISBLANK(MINDS!O$56)),MINDS!O$55&amp;"."&amp;MINDS!O$56,"")</f>
        <v/>
      </c>
      <c r="P45" t="str">
        <f>IF(NOT(ISBLANK(MINDS!P$56)),MINDS!P$55&amp;"."&amp;MINDS!P$56,"")</f>
        <v/>
      </c>
      <c r="Q45" t="str">
        <f>IF(NOT(ISBLANK(MINDS!Q$56)),MINDS!Q$55&amp;"."&amp;MINDS!Q$56,"")</f>
        <v/>
      </c>
      <c r="R45" t="str">
        <f>IF(NOT(ISBLANK(MINDS!R$56)),MINDS!R$55&amp;"."&amp;MINDS!R$56,"")</f>
        <v/>
      </c>
      <c r="S45" t="str">
        <f>IF(NOT(ISBLANK(MINDS!S$56)),MINDS!S$55&amp;"."&amp;MINDS!S$56,"")</f>
        <v/>
      </c>
      <c r="T45" t="str">
        <f>IF(NOT(ISBLANK(MINDS!T$56)),MINDS!T$55&amp;"."&amp;MINDS!T$56,"")</f>
        <v/>
      </c>
      <c r="U45" t="str">
        <f>IF(NOT(ISBLANK(MINDS!U$56)),MINDS!U$55&amp;"."&amp;MINDS!U$56,"")</f>
        <v/>
      </c>
      <c r="V45" t="str">
        <f>IF(NOT(ISBLANK(MINDS!V$56)),MINDS!V$55&amp;"."&amp;MINDS!V$56,"")</f>
        <v/>
      </c>
      <c r="W45" t="str">
        <f>IF(NOT(ISBLANK(MINDS!W$56)),MINDS!W$55&amp;"."&amp;MINDS!W$56,"")</f>
        <v/>
      </c>
      <c r="X45" t="str">
        <f>IF(NOT(ISBLANK(MINDS!X$56)),MINDS!X$55&amp;"."&amp;MINDS!X$56,"")</f>
        <v/>
      </c>
      <c r="Y45" t="str">
        <f>IF(NOT(ISBLANK(MINDS!Y$56)),MINDS!Y$55&amp;"."&amp;MINDS!Y$56,"")</f>
        <v/>
      </c>
      <c r="Z45" t="str">
        <f>IF(NOT(ISBLANK(MINDS!Z$56)),MINDS!Z$55&amp;"."&amp;MINDS!Z$56,"")</f>
        <v/>
      </c>
      <c r="AA45" t="str">
        <f>IF(NOT(ISBLANK(MINDS!AA$56)),MINDS!AA$55&amp;"."&amp;MINDS!AA$56,"")</f>
        <v/>
      </c>
      <c r="AB45" t="str">
        <f>IF(NOT(ISBLANK(MINDS!AB$56)),MINDS!AB$55&amp;"."&amp;MINDS!AB$56,"")</f>
        <v/>
      </c>
      <c r="AC45" t="str">
        <f>IF(NOT(ISBLANK(MINDS!AC$56)),MINDS!AC$55&amp;"."&amp;MINDS!AC$56,"")</f>
        <v/>
      </c>
      <c r="AD45" t="str">
        <f>IF(NOT(ISBLANK(MINDS!AD$56)),MINDS!AD$55&amp;"."&amp;MINDS!AD$56,"")</f>
        <v/>
      </c>
      <c r="AE45" t="str">
        <f>IF(NOT(ISBLANK(MINDS!AE$56)),MINDS!AE$55&amp;"."&amp;MINDS!AE$56,"")</f>
        <v/>
      </c>
      <c r="AF45" t="str">
        <f>IF(NOT(ISBLANK(MINDS!AF$56)),MINDS!AF$55&amp;"."&amp;MINDS!AF$56,"")</f>
        <v/>
      </c>
      <c r="AG45" t="str">
        <f>IF(NOT(ISBLANK(MINDS!AG$56)),MINDS!AG$55&amp;"."&amp;MINDS!AG$56,"")</f>
        <v/>
      </c>
      <c r="AH45" t="str">
        <f>IF(NOT(ISBLANK(MINDS!AH$56)),MINDS!AH$55&amp;"."&amp;MINDS!AH$56,"")</f>
        <v/>
      </c>
    </row>
    <row r="46" spans="1:34" x14ac:dyDescent="0.25">
      <c r="A46" s="1" t="s">
        <v>16</v>
      </c>
      <c r="B46" s="2"/>
      <c r="C46" t="str">
        <f>IF(C$45&lt;&gt;"",MINDS!C$57,"")</f>
        <v/>
      </c>
      <c r="D46" t="str">
        <f>IF(D$45&lt;&gt;"",MINDS!D$57,"")</f>
        <v/>
      </c>
      <c r="E46" t="str">
        <f>IF(E$45&lt;&gt;"",MINDS!E$57,"")</f>
        <v/>
      </c>
      <c r="F46" t="str">
        <f>IF(F$45&lt;&gt;"",MINDS!F$57,"")</f>
        <v/>
      </c>
      <c r="G46" t="str">
        <f>IF(G$45&lt;&gt;"",MINDS!G$57,"")</f>
        <v/>
      </c>
      <c r="H46" t="str">
        <f>IF(H$45&lt;&gt;"",MINDS!H$57,"")</f>
        <v/>
      </c>
      <c r="I46" t="str">
        <f>IF(I$45&lt;&gt;"",MINDS!I$57,"")</f>
        <v/>
      </c>
      <c r="J46" t="str">
        <f>IF(J$45&lt;&gt;"",MINDS!J$57,"")</f>
        <v/>
      </c>
      <c r="K46" t="str">
        <f>IF(K$45&lt;&gt;"",MINDS!K$57,"")</f>
        <v/>
      </c>
      <c r="L46" t="str">
        <f>IF(L$45&lt;&gt;"",MINDS!L$57,"")</f>
        <v/>
      </c>
      <c r="M46" t="str">
        <f>IF(M$45&lt;&gt;"",MINDS!M$57,"")</f>
        <v/>
      </c>
      <c r="N46" t="str">
        <f>IF(N$45&lt;&gt;"",MINDS!N$57,"")</f>
        <v/>
      </c>
      <c r="O46" t="str">
        <f>IF(O$45&lt;&gt;"",MINDS!O$57,"")</f>
        <v/>
      </c>
      <c r="P46" t="str">
        <f>IF(P$45&lt;&gt;"",MINDS!P$57,"")</f>
        <v/>
      </c>
      <c r="Q46" t="str">
        <f>IF(Q$45&lt;&gt;"",MINDS!Q$57,"")</f>
        <v/>
      </c>
      <c r="R46" t="str">
        <f>IF(R$45&lt;&gt;"",MINDS!R$57,"")</f>
        <v/>
      </c>
      <c r="S46" t="str">
        <f>IF(S$45&lt;&gt;"",MINDS!S$57,"")</f>
        <v/>
      </c>
      <c r="T46" t="str">
        <f>IF(T$45&lt;&gt;"",MINDS!T$57,"")</f>
        <v/>
      </c>
      <c r="U46" t="str">
        <f>IF(U$45&lt;&gt;"",MINDS!U$57,"")</f>
        <v/>
      </c>
      <c r="V46" t="str">
        <f>IF(V$45&lt;&gt;"",MINDS!V$57,"")</f>
        <v/>
      </c>
      <c r="W46" t="str">
        <f>IF(W$45&lt;&gt;"",MINDS!W$57,"")</f>
        <v/>
      </c>
      <c r="X46" t="str">
        <f>IF(X$45&lt;&gt;"",MINDS!X$57,"")</f>
        <v/>
      </c>
      <c r="Y46" t="str">
        <f>IF(Y$45&lt;&gt;"",MINDS!Y$57,"")</f>
        <v/>
      </c>
      <c r="Z46" t="str">
        <f>IF(Z$45&lt;&gt;"",MINDS!Z$57,"")</f>
        <v/>
      </c>
      <c r="AA46" t="str">
        <f>IF(AA$45&lt;&gt;"",MINDS!AA$57,"")</f>
        <v/>
      </c>
      <c r="AB46" t="str">
        <f>IF(AB$45&lt;&gt;"",MINDS!AB$57,"")</f>
        <v/>
      </c>
      <c r="AC46" t="str">
        <f>IF(AC$45&lt;&gt;"",MINDS!AC$57,"")</f>
        <v/>
      </c>
      <c r="AD46" t="str">
        <f>IF(AD$45&lt;&gt;"",MINDS!AD$57,"")</f>
        <v/>
      </c>
      <c r="AE46" t="str">
        <f>IF(AE$45&lt;&gt;"",MINDS!AE$57,"")</f>
        <v/>
      </c>
      <c r="AF46" t="str">
        <f>IF(AF$45&lt;&gt;"",MINDS!AF$57,"")</f>
        <v/>
      </c>
      <c r="AG46" t="str">
        <f>IF(AG$45&lt;&gt;"",MINDS!AG$57,"")</f>
        <v/>
      </c>
      <c r="AH46" t="str">
        <f>IF(AH$45&lt;&gt;"",MINDS!AH$57,"")</f>
        <v/>
      </c>
    </row>
    <row r="47" spans="1:34" x14ac:dyDescent="0.25">
      <c r="A47" s="1" t="s">
        <v>17</v>
      </c>
      <c r="B47" s="2"/>
      <c r="C47" t="str">
        <f>IF(C$45&lt;&gt;"",SUBSTITUTE(TEXTJOIN("|",TRUE,MINDS!C$58:C$63),"_",""),"")</f>
        <v/>
      </c>
      <c r="D47" t="str">
        <f>IF(D$45&lt;&gt;"",SUBSTITUTE(TEXTJOIN("|",TRUE,MINDS!D$58:D$63),"_",""),"")</f>
        <v/>
      </c>
      <c r="E47" t="str">
        <f>IF(E$45&lt;&gt;"",SUBSTITUTE(TEXTJOIN("|",TRUE,MINDS!E$58:E$63),"_",""),"")</f>
        <v/>
      </c>
      <c r="F47" t="str">
        <f>IF(F$45&lt;&gt;"",SUBSTITUTE(TEXTJOIN("|",TRUE,MINDS!F$58:F$63),"_",""),"")</f>
        <v/>
      </c>
      <c r="G47" t="str">
        <f>IF(G$45&lt;&gt;"",SUBSTITUTE(TEXTJOIN("|",TRUE,MINDS!G$58:G$63),"_",""),"")</f>
        <v/>
      </c>
      <c r="H47" t="str">
        <f>IF(H$45&lt;&gt;"",SUBSTITUTE(TEXTJOIN("|",TRUE,MINDS!H$58:H$63),"_",""),"")</f>
        <v/>
      </c>
      <c r="I47" t="str">
        <f>IF(I$45&lt;&gt;"",SUBSTITUTE(TEXTJOIN("|",TRUE,MINDS!I$58:I$63),"_",""),"")</f>
        <v/>
      </c>
      <c r="J47" t="str">
        <f>IF(J$45&lt;&gt;"",SUBSTITUTE(TEXTJOIN("|",TRUE,MINDS!J$58:J$63),"_",""),"")</f>
        <v/>
      </c>
      <c r="K47" t="str">
        <f>IF(K$45&lt;&gt;"",SUBSTITUTE(TEXTJOIN("|",TRUE,MINDS!K$58:K$63),"_",""),"")</f>
        <v/>
      </c>
      <c r="L47" t="str">
        <f>IF(L$45&lt;&gt;"",SUBSTITUTE(TEXTJOIN("|",TRUE,MINDS!L$58:L$63),"_",""),"")</f>
        <v/>
      </c>
      <c r="M47" t="str">
        <f>IF(M$45&lt;&gt;"",SUBSTITUTE(TEXTJOIN("|",TRUE,MINDS!M$58:M$63),"_",""),"")</f>
        <v/>
      </c>
      <c r="N47" t="str">
        <f>IF(N$45&lt;&gt;"",SUBSTITUTE(TEXTJOIN("|",TRUE,MINDS!N$58:N$63),"_",""),"")</f>
        <v/>
      </c>
      <c r="O47" t="str">
        <f>IF(O$45&lt;&gt;"",SUBSTITUTE(TEXTJOIN("|",TRUE,MINDS!O$58:O$63),"_",""),"")</f>
        <v/>
      </c>
      <c r="P47" t="str">
        <f>IF(P$45&lt;&gt;"",SUBSTITUTE(TEXTJOIN("|",TRUE,MINDS!P$58:P$63),"_",""),"")</f>
        <v/>
      </c>
      <c r="Q47" t="str">
        <f>IF(Q$45&lt;&gt;"",SUBSTITUTE(TEXTJOIN("|",TRUE,MINDS!Q$58:Q$63),"_",""),"")</f>
        <v/>
      </c>
      <c r="R47" t="str">
        <f>IF(R$45&lt;&gt;"",SUBSTITUTE(TEXTJOIN("|",TRUE,MINDS!R$58:R$63),"_",""),"")</f>
        <v/>
      </c>
      <c r="S47" t="str">
        <f>IF(S$45&lt;&gt;"",SUBSTITUTE(TEXTJOIN("|",TRUE,MINDS!S$58:S$63),"_",""),"")</f>
        <v/>
      </c>
      <c r="T47" t="str">
        <f>IF(T$45&lt;&gt;"",SUBSTITUTE(TEXTJOIN("|",TRUE,MINDS!T$58:T$63),"_",""),"")</f>
        <v/>
      </c>
      <c r="U47" t="str">
        <f>IF(U$45&lt;&gt;"",SUBSTITUTE(TEXTJOIN("|",TRUE,MINDS!U$58:U$63),"_",""),"")</f>
        <v/>
      </c>
      <c r="V47" t="str">
        <f>IF(V$45&lt;&gt;"",SUBSTITUTE(TEXTJOIN("|",TRUE,MINDS!V$58:V$63),"_",""),"")</f>
        <v/>
      </c>
      <c r="W47" t="str">
        <f>IF(W$45&lt;&gt;"",SUBSTITUTE(TEXTJOIN("|",TRUE,MINDS!W$58:W$63),"_",""),"")</f>
        <v/>
      </c>
      <c r="X47" t="str">
        <f>IF(X$45&lt;&gt;"",SUBSTITUTE(TEXTJOIN("|",TRUE,MINDS!X$58:X$63),"_",""),"")</f>
        <v/>
      </c>
      <c r="Y47" t="str">
        <f>IF(Y$45&lt;&gt;"",SUBSTITUTE(TEXTJOIN("|",TRUE,MINDS!Y$58:Y$63),"_",""),"")</f>
        <v/>
      </c>
      <c r="Z47" t="str">
        <f>IF(Z$45&lt;&gt;"",SUBSTITUTE(TEXTJOIN("|",TRUE,MINDS!Z$58:Z$63),"_",""),"")</f>
        <v/>
      </c>
      <c r="AA47" t="str">
        <f>IF(AA$45&lt;&gt;"",SUBSTITUTE(TEXTJOIN("|",TRUE,MINDS!AA$58:AA$63),"_",""),"")</f>
        <v/>
      </c>
      <c r="AB47" t="str">
        <f>IF(AB$45&lt;&gt;"",SUBSTITUTE(TEXTJOIN("|",TRUE,MINDS!AB$58:AB$63),"_",""),"")</f>
        <v/>
      </c>
      <c r="AC47" t="str">
        <f>IF(AC$45&lt;&gt;"",SUBSTITUTE(TEXTJOIN("|",TRUE,MINDS!AC$58:AC$63),"_",""),"")</f>
        <v/>
      </c>
      <c r="AD47" t="str">
        <f>IF(AD$45&lt;&gt;"",SUBSTITUTE(TEXTJOIN("|",TRUE,MINDS!AD$58:AD$63),"_",""),"")</f>
        <v/>
      </c>
      <c r="AE47" t="str">
        <f>IF(AE$45&lt;&gt;"",SUBSTITUTE(TEXTJOIN("|",TRUE,MINDS!AE$58:AE$63),"_",""),"")</f>
        <v/>
      </c>
      <c r="AF47" t="str">
        <f>IF(AF$45&lt;&gt;"",SUBSTITUTE(TEXTJOIN("|",TRUE,MINDS!AF$58:AF$63),"_",""),"")</f>
        <v/>
      </c>
      <c r="AG47" t="str">
        <f>IF(AG$45&lt;&gt;"",SUBSTITUTE(TEXTJOIN("|",TRUE,MINDS!AG$58:AG$63),"_",""),"")</f>
        <v/>
      </c>
      <c r="AH47" t="str">
        <f>IF(AH$45&lt;&gt;"",SUBSTITUTE(TEXTJOIN("|",TRUE,MINDS!AH$58:AH$63),"_",""),"")</f>
        <v/>
      </c>
    </row>
    <row r="48" spans="1:34" x14ac:dyDescent="0.25">
      <c r="A48" s="1" t="s">
        <v>4</v>
      </c>
      <c r="B48" s="2"/>
      <c r="C48" t="str">
        <f>IF(C$45&lt;&gt;"",SUBSTITUTE(SUBSTITUTE(TEXTJOIN("|",TRUE,MINDS!C$67:C$72),"_ ",""),"_",""),"")</f>
        <v/>
      </c>
      <c r="D48" t="str">
        <f>IF(D$45&lt;&gt;"",SUBSTITUTE(SUBSTITUTE(TEXTJOIN("|",TRUE,MINDS!D$67:D$72),"_ ",""),"_",""),"")</f>
        <v/>
      </c>
      <c r="E48" t="str">
        <f>IF(E$45&lt;&gt;"",SUBSTITUTE(SUBSTITUTE(TEXTJOIN("|",TRUE,MINDS!E$67:E$72),"_ ",""),"_",""),"")</f>
        <v/>
      </c>
      <c r="F48" t="str">
        <f>IF(F$45&lt;&gt;"",SUBSTITUTE(SUBSTITUTE(TEXTJOIN("|",TRUE,MINDS!F$67:F$72),"_ ",""),"_",""),"")</f>
        <v/>
      </c>
      <c r="G48" t="str">
        <f>IF(G$45&lt;&gt;"",SUBSTITUTE(SUBSTITUTE(TEXTJOIN("|",TRUE,MINDS!G$67:G$72),"_ ",""),"_",""),"")</f>
        <v/>
      </c>
      <c r="H48" t="str">
        <f>IF(H$45&lt;&gt;"",SUBSTITUTE(SUBSTITUTE(TEXTJOIN("|",TRUE,MINDS!H$67:H$72),"_ ",""),"_",""),"")</f>
        <v/>
      </c>
      <c r="I48" t="str">
        <f>IF(I$45&lt;&gt;"",SUBSTITUTE(SUBSTITUTE(TEXTJOIN("|",TRUE,MINDS!I$67:I$72),"_ ",""),"_",""),"")</f>
        <v/>
      </c>
      <c r="J48" t="str">
        <f>IF(J$45&lt;&gt;"",SUBSTITUTE(SUBSTITUTE(TEXTJOIN("|",TRUE,MINDS!J$67:J$72),"_ ",""),"_",""),"")</f>
        <v/>
      </c>
      <c r="K48" t="str">
        <f>IF(K$45&lt;&gt;"",SUBSTITUTE(SUBSTITUTE(TEXTJOIN("|",TRUE,MINDS!K$67:K$72),"_ ",""),"_",""),"")</f>
        <v/>
      </c>
      <c r="L48" t="str">
        <f>IF(L$45&lt;&gt;"",SUBSTITUTE(SUBSTITUTE(TEXTJOIN("|",TRUE,MINDS!L$67:L$72),"_ ",""),"_",""),"")</f>
        <v/>
      </c>
      <c r="M48" t="str">
        <f>IF(M$45&lt;&gt;"",SUBSTITUTE(SUBSTITUTE(TEXTJOIN("|",TRUE,MINDS!M$67:M$72),"_ ",""),"_",""),"")</f>
        <v/>
      </c>
      <c r="N48" t="str">
        <f>IF(N$45&lt;&gt;"",SUBSTITUTE(SUBSTITUTE(TEXTJOIN("|",TRUE,MINDS!N$67:N$72),"_ ",""),"_",""),"")</f>
        <v/>
      </c>
      <c r="O48" t="str">
        <f>IF(O$45&lt;&gt;"",SUBSTITUTE(SUBSTITUTE(TEXTJOIN("|",TRUE,MINDS!O$67:O$72),"_ ",""),"_",""),"")</f>
        <v/>
      </c>
      <c r="P48" t="str">
        <f>IF(P$45&lt;&gt;"",SUBSTITUTE(SUBSTITUTE(TEXTJOIN("|",TRUE,MINDS!P$67:P$72),"_ ",""),"_",""),"")</f>
        <v/>
      </c>
      <c r="Q48" t="str">
        <f>IF(Q$45&lt;&gt;"",SUBSTITUTE(SUBSTITUTE(TEXTJOIN("|",TRUE,MINDS!Q$67:Q$72),"_ ",""),"_",""),"")</f>
        <v/>
      </c>
      <c r="R48" t="str">
        <f>IF(R$45&lt;&gt;"",SUBSTITUTE(SUBSTITUTE(TEXTJOIN("|",TRUE,MINDS!R$67:R$72),"_ ",""),"_",""),"")</f>
        <v/>
      </c>
      <c r="S48" t="str">
        <f>IF(S$45&lt;&gt;"",SUBSTITUTE(SUBSTITUTE(TEXTJOIN("|",TRUE,MINDS!S$67:S$72),"_ ",""),"_",""),"")</f>
        <v/>
      </c>
      <c r="T48" t="str">
        <f>IF(T$45&lt;&gt;"",SUBSTITUTE(SUBSTITUTE(TEXTJOIN("|",TRUE,MINDS!T$67:T$72),"_ ",""),"_",""),"")</f>
        <v/>
      </c>
      <c r="U48" t="str">
        <f>IF(U$45&lt;&gt;"",SUBSTITUTE(SUBSTITUTE(TEXTJOIN("|",TRUE,MINDS!U$67:U$72),"_ ",""),"_",""),"")</f>
        <v/>
      </c>
      <c r="V48" t="str">
        <f>IF(V$45&lt;&gt;"",SUBSTITUTE(SUBSTITUTE(TEXTJOIN("|",TRUE,MINDS!V$67:V$72),"_ ",""),"_",""),"")</f>
        <v/>
      </c>
      <c r="W48" t="str">
        <f>IF(W$45&lt;&gt;"",SUBSTITUTE(SUBSTITUTE(TEXTJOIN("|",TRUE,MINDS!W$67:W$72),"_ ",""),"_",""),"")</f>
        <v/>
      </c>
      <c r="X48" t="str">
        <f>IF(X$45&lt;&gt;"",SUBSTITUTE(SUBSTITUTE(TEXTJOIN("|",TRUE,MINDS!X$67:X$72),"_ ",""),"_",""),"")</f>
        <v/>
      </c>
      <c r="Y48" t="str">
        <f>IF(Y$45&lt;&gt;"",SUBSTITUTE(SUBSTITUTE(TEXTJOIN("|",TRUE,MINDS!Y$67:Y$72),"_ ",""),"_",""),"")</f>
        <v/>
      </c>
      <c r="Z48" t="str">
        <f>IF(Z$45&lt;&gt;"",SUBSTITUTE(SUBSTITUTE(TEXTJOIN("|",TRUE,MINDS!Z$67:Z$72),"_ ",""),"_",""),"")</f>
        <v/>
      </c>
      <c r="AA48" t="str">
        <f>IF(AA$45&lt;&gt;"",SUBSTITUTE(SUBSTITUTE(TEXTJOIN("|",TRUE,MINDS!AA$67:AA$72),"_ ",""),"_",""),"")</f>
        <v/>
      </c>
      <c r="AB48" t="str">
        <f>IF(AB$45&lt;&gt;"",SUBSTITUTE(SUBSTITUTE(TEXTJOIN("|",TRUE,MINDS!AB$67:AB$72),"_ ",""),"_",""),"")</f>
        <v/>
      </c>
      <c r="AC48" t="str">
        <f>IF(AC$45&lt;&gt;"",SUBSTITUTE(SUBSTITUTE(TEXTJOIN("|",TRUE,MINDS!AC$67:AC$72),"_ ",""),"_",""),"")</f>
        <v/>
      </c>
      <c r="AD48" t="str">
        <f>IF(AD$45&lt;&gt;"",SUBSTITUTE(SUBSTITUTE(TEXTJOIN("|",TRUE,MINDS!AD$67:AD$72),"_ ",""),"_",""),"")</f>
        <v/>
      </c>
      <c r="AE48" t="str">
        <f>IF(AE$45&lt;&gt;"",SUBSTITUTE(SUBSTITUTE(TEXTJOIN("|",TRUE,MINDS!AE$67:AE$72),"_ ",""),"_",""),"")</f>
        <v/>
      </c>
      <c r="AF48" t="str">
        <f>IF(AF$45&lt;&gt;"",SUBSTITUTE(SUBSTITUTE(TEXTJOIN("|",TRUE,MINDS!AF$67:AF$72),"_ ",""),"_",""),"")</f>
        <v/>
      </c>
      <c r="AG48" t="str">
        <f>IF(AG$45&lt;&gt;"",SUBSTITUTE(SUBSTITUTE(TEXTJOIN("|",TRUE,MINDS!AG$67:AG$72),"_ ",""),"_",""),"")</f>
        <v/>
      </c>
      <c r="AH48" t="str">
        <f>IF(AH$45&lt;&gt;"",SUBSTITUTE(SUBSTITUTE(TEXTJOIN("|",TRUE,MINDS!AH$67:AH$72),"_ ",""),"_",""),"")</f>
        <v/>
      </c>
    </row>
    <row r="49" spans="1:34" x14ac:dyDescent="0.25">
      <c r="A49" s="1" t="s">
        <v>23</v>
      </c>
      <c r="B49" s="2"/>
      <c r="C49" t="str">
        <f>IF(C$45&lt;&gt;"",IF(NOT(ISBLANK(MINDS!C$64)),MINDS!C$64,""),"")</f>
        <v/>
      </c>
      <c r="D49" t="str">
        <f>IF(D$45&lt;&gt;"",IF(NOT(ISBLANK(MINDS!D$64)),MINDS!D$64,""),"")</f>
        <v/>
      </c>
      <c r="E49" t="str">
        <f>IF(E$45&lt;&gt;"",IF(NOT(ISBLANK(MINDS!E$64)),MINDS!E$64,""),"")</f>
        <v/>
      </c>
      <c r="F49" t="str">
        <f>IF(F$45&lt;&gt;"",IF(NOT(ISBLANK(MINDS!F$64)),MINDS!F$64,""),"")</f>
        <v/>
      </c>
      <c r="G49" t="str">
        <f>IF(G$45&lt;&gt;"",IF(NOT(ISBLANK(MINDS!G$64)),MINDS!G$64,""),"")</f>
        <v/>
      </c>
      <c r="H49" t="str">
        <f>IF(H$45&lt;&gt;"",IF(NOT(ISBLANK(MINDS!H$64)),MINDS!H$64,""),"")</f>
        <v/>
      </c>
      <c r="I49" t="str">
        <f>IF(I$45&lt;&gt;"",IF(NOT(ISBLANK(MINDS!I$64)),MINDS!I$64,""),"")</f>
        <v/>
      </c>
      <c r="J49" t="str">
        <f>IF(J$45&lt;&gt;"",IF(NOT(ISBLANK(MINDS!J$64)),MINDS!J$64,""),"")</f>
        <v/>
      </c>
      <c r="K49" t="str">
        <f>IF(K$45&lt;&gt;"",IF(NOT(ISBLANK(MINDS!K$64)),MINDS!K$64,""),"")</f>
        <v/>
      </c>
      <c r="L49" t="str">
        <f>IF(L$45&lt;&gt;"",IF(NOT(ISBLANK(MINDS!L$64)),MINDS!L$64,""),"")</f>
        <v/>
      </c>
      <c r="M49" t="str">
        <f>IF(M$45&lt;&gt;"",IF(NOT(ISBLANK(MINDS!M$64)),MINDS!M$64,""),"")</f>
        <v/>
      </c>
      <c r="N49" t="str">
        <f>IF(N$45&lt;&gt;"",IF(NOT(ISBLANK(MINDS!N$64)),MINDS!N$64,""),"")</f>
        <v/>
      </c>
      <c r="O49" t="str">
        <f>IF(O$45&lt;&gt;"",IF(NOT(ISBLANK(MINDS!O$64)),MINDS!O$64,""),"")</f>
        <v/>
      </c>
      <c r="P49" t="str">
        <f>IF(P$45&lt;&gt;"",IF(NOT(ISBLANK(MINDS!P$64)),MINDS!P$64,""),"")</f>
        <v/>
      </c>
      <c r="Q49" t="str">
        <f>IF(Q$45&lt;&gt;"",IF(NOT(ISBLANK(MINDS!Q$64)),MINDS!Q$64,""),"")</f>
        <v/>
      </c>
      <c r="R49" t="str">
        <f>IF(R$45&lt;&gt;"",IF(NOT(ISBLANK(MINDS!R$64)),MINDS!R$64,""),"")</f>
        <v/>
      </c>
      <c r="S49" t="str">
        <f>IF(S$45&lt;&gt;"",IF(NOT(ISBLANK(MINDS!S$64)),MINDS!S$64,""),"")</f>
        <v/>
      </c>
      <c r="T49" t="str">
        <f>IF(T$45&lt;&gt;"",IF(NOT(ISBLANK(MINDS!T$64)),MINDS!T$64,""),"")</f>
        <v/>
      </c>
      <c r="U49" t="str">
        <f>IF(U$45&lt;&gt;"",IF(NOT(ISBLANK(MINDS!U$64)),MINDS!U$64,""),"")</f>
        <v/>
      </c>
      <c r="V49" t="str">
        <f>IF(V$45&lt;&gt;"",IF(NOT(ISBLANK(MINDS!V$64)),MINDS!V$64,""),"")</f>
        <v/>
      </c>
      <c r="W49" t="str">
        <f>IF(W$45&lt;&gt;"",IF(NOT(ISBLANK(MINDS!W$64)),MINDS!W$64,""),"")</f>
        <v/>
      </c>
      <c r="X49" t="str">
        <f>IF(X$45&lt;&gt;"",IF(NOT(ISBLANK(MINDS!X$64)),MINDS!X$64,""),"")</f>
        <v/>
      </c>
      <c r="Y49" t="str">
        <f>IF(Y$45&lt;&gt;"",IF(NOT(ISBLANK(MINDS!Y$64)),MINDS!Y$64,""),"")</f>
        <v/>
      </c>
      <c r="Z49" t="str">
        <f>IF(Z$45&lt;&gt;"",IF(NOT(ISBLANK(MINDS!Z$64)),MINDS!Z$64,""),"")</f>
        <v/>
      </c>
      <c r="AA49" t="str">
        <f>IF(AA$45&lt;&gt;"",IF(NOT(ISBLANK(MINDS!AA$64)),MINDS!AA$64,""),"")</f>
        <v/>
      </c>
      <c r="AB49" t="str">
        <f>IF(AB$45&lt;&gt;"",IF(NOT(ISBLANK(MINDS!AB$64)),MINDS!AB$64,""),"")</f>
        <v/>
      </c>
      <c r="AC49" t="str">
        <f>IF(AC$45&lt;&gt;"",IF(NOT(ISBLANK(MINDS!AC$64)),MINDS!AC$64,""),"")</f>
        <v/>
      </c>
      <c r="AD49" t="str">
        <f>IF(AD$45&lt;&gt;"",IF(NOT(ISBLANK(MINDS!AD$64)),MINDS!AD$64,""),"")</f>
        <v/>
      </c>
      <c r="AE49" t="str">
        <f>IF(AE$45&lt;&gt;"",IF(NOT(ISBLANK(MINDS!AE$64)),MINDS!AE$64,""),"")</f>
        <v/>
      </c>
      <c r="AF49" t="str">
        <f>IF(AF$45&lt;&gt;"",IF(NOT(ISBLANK(MINDS!AF$64)),MINDS!AF$64,""),"")</f>
        <v/>
      </c>
      <c r="AG49" t="str">
        <f>IF(AG$45&lt;&gt;"",IF(NOT(ISBLANK(MINDS!AG$64)),MINDS!AG$64,""),"")</f>
        <v/>
      </c>
      <c r="AH49" t="str">
        <f>IF(AH$45&lt;&gt;"",IF(NOT(ISBLANK(MINDS!AH$64)),MINDS!AH$64,""),"")</f>
        <v/>
      </c>
    </row>
    <row r="51" spans="1:34" x14ac:dyDescent="0.25">
      <c r="A51" s="3" t="s">
        <v>35</v>
      </c>
    </row>
    <row r="52" spans="1:34" x14ac:dyDescent="0.25">
      <c r="A52" s="1">
        <f>IF(ISNUMBER(MINDS!$C$18),MINDS!$C$18,0)</f>
        <v>0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DataWorkbench</vt:lpstr>
      <vt:lpstr>MINDS</vt:lpstr>
      <vt:lpstr>DataWorkbench!ActivityCount</vt:lpstr>
      <vt:lpstr>DataWorkbench!ComponentID</vt:lpstr>
      <vt:lpstr>DataWorkbench!DatasetCount</vt:lpstr>
      <vt:lpstr>DataWorkbench!SampleCount</vt:lpstr>
      <vt:lpstr>DataWorkbench!SpecimenGroupCount</vt:lpstr>
      <vt:lpstr>DataWorkbench!SubjectCount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2018-05-05T18:56:30Z</dcterms:modified>
</cp:coreProperties>
</file>