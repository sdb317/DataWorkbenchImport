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DataWorkbench\_testing\Import\"/>
    </mc:Choice>
  </mc:AlternateContent>
  <bookViews>
    <workbookView xWindow="0" yWindow="0" windowWidth="17940" windowHeight="24270" activeTab="1"/>
  </bookViews>
  <sheets>
    <sheet name="MINDS" sheetId="3" r:id="rId1"/>
    <sheet name="DataWorkbench" sheetId="4" r:id="rId2"/>
  </sheets>
  <definedNames>
    <definedName name="ActivityCountA" localSheetId="1">DataWorkbench!$B$31</definedName>
    <definedName name="ActivityCountE" localSheetId="1">DataWorkbench!$B$22</definedName>
    <definedName name="ComponentID" localSheetId="1">DataWorkbench!$B$1</definedName>
    <definedName name="DatasetCount" localSheetId="1">DataWorkbench!$B$40</definedName>
    <definedName name="PersonLookup">DataWorkbench!$C$61:$IV$62</definedName>
    <definedName name="SpecimenGroupCount" localSheetId="1">DataWorkbench!$B$3</definedName>
  </definedNames>
  <calcPr calcId="162913" calcMode="manual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4" l="1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DI53" i="4"/>
  <c r="DJ53" i="4"/>
  <c r="DK53" i="4"/>
  <c r="DL53" i="4"/>
  <c r="DM53" i="4"/>
  <c r="DN53" i="4"/>
  <c r="DO53" i="4"/>
  <c r="DP53" i="4"/>
  <c r="DQ53" i="4"/>
  <c r="DR53" i="4"/>
  <c r="DS53" i="4"/>
  <c r="DT53" i="4"/>
  <c r="DU53" i="4"/>
  <c r="DV53" i="4"/>
  <c r="DW53" i="4"/>
  <c r="DX53" i="4"/>
  <c r="DY53" i="4"/>
  <c r="DZ53" i="4"/>
  <c r="EA53" i="4"/>
  <c r="EB53" i="4"/>
  <c r="EC53" i="4"/>
  <c r="ED53" i="4"/>
  <c r="EE53" i="4"/>
  <c r="EF53" i="4"/>
  <c r="EG53" i="4"/>
  <c r="EH53" i="4"/>
  <c r="EI53" i="4"/>
  <c r="EJ53" i="4"/>
  <c r="EK53" i="4"/>
  <c r="EL53" i="4"/>
  <c r="EM53" i="4"/>
  <c r="EN53" i="4"/>
  <c r="EO53" i="4"/>
  <c r="EP53" i="4"/>
  <c r="EQ53" i="4"/>
  <c r="ER53" i="4"/>
  <c r="ES53" i="4"/>
  <c r="ET53" i="4"/>
  <c r="EU53" i="4"/>
  <c r="EV53" i="4"/>
  <c r="EW53" i="4"/>
  <c r="EX53" i="4"/>
  <c r="EY53" i="4"/>
  <c r="EZ53" i="4"/>
  <c r="FA53" i="4"/>
  <c r="FB53" i="4"/>
  <c r="FC53" i="4"/>
  <c r="FD53" i="4"/>
  <c r="FE53" i="4"/>
  <c r="FF53" i="4"/>
  <c r="FG53" i="4"/>
  <c r="FH53" i="4"/>
  <c r="FI53" i="4"/>
  <c r="FJ53" i="4"/>
  <c r="FK53" i="4"/>
  <c r="FL53" i="4"/>
  <c r="FM53" i="4"/>
  <c r="FN53" i="4"/>
  <c r="FO53" i="4"/>
  <c r="FP53" i="4"/>
  <c r="FQ53" i="4"/>
  <c r="FR53" i="4"/>
  <c r="FS53" i="4"/>
  <c r="FT53" i="4"/>
  <c r="FU53" i="4"/>
  <c r="FV53" i="4"/>
  <c r="FW53" i="4"/>
  <c r="FX53" i="4"/>
  <c r="FY53" i="4"/>
  <c r="FZ53" i="4"/>
  <c r="GA53" i="4"/>
  <c r="GB53" i="4"/>
  <c r="GC53" i="4"/>
  <c r="GD53" i="4"/>
  <c r="GE53" i="4"/>
  <c r="GF53" i="4"/>
  <c r="GG53" i="4"/>
  <c r="GH53" i="4"/>
  <c r="GI53" i="4"/>
  <c r="GJ53" i="4"/>
  <c r="GK53" i="4"/>
  <c r="GL53" i="4"/>
  <c r="GM53" i="4"/>
  <c r="GN53" i="4"/>
  <c r="GO53" i="4"/>
  <c r="GP53" i="4"/>
  <c r="GQ53" i="4"/>
  <c r="GR53" i="4"/>
  <c r="GS53" i="4"/>
  <c r="GT53" i="4"/>
  <c r="GU53" i="4"/>
  <c r="GV53" i="4"/>
  <c r="GW53" i="4"/>
  <c r="GX53" i="4"/>
  <c r="GY53" i="4"/>
  <c r="GZ53" i="4"/>
  <c r="HA53" i="4"/>
  <c r="HB53" i="4"/>
  <c r="HC53" i="4"/>
  <c r="HD53" i="4"/>
  <c r="HE53" i="4"/>
  <c r="HF53" i="4"/>
  <c r="HG53" i="4"/>
  <c r="HH53" i="4"/>
  <c r="HI53" i="4"/>
  <c r="HJ53" i="4"/>
  <c r="HK53" i="4"/>
  <c r="HL53" i="4"/>
  <c r="HM53" i="4"/>
  <c r="HN53" i="4"/>
  <c r="HO53" i="4"/>
  <c r="HP53" i="4"/>
  <c r="HQ53" i="4"/>
  <c r="HR53" i="4"/>
  <c r="HS53" i="4"/>
  <c r="HT53" i="4"/>
  <c r="HU53" i="4"/>
  <c r="HV53" i="4"/>
  <c r="HW53" i="4"/>
  <c r="HX53" i="4"/>
  <c r="HY53" i="4"/>
  <c r="HZ53" i="4"/>
  <c r="IA53" i="4"/>
  <c r="IB53" i="4"/>
  <c r="IC53" i="4"/>
  <c r="ID53" i="4"/>
  <c r="IE53" i="4"/>
  <c r="IF53" i="4"/>
  <c r="IG53" i="4"/>
  <c r="IH53" i="4"/>
  <c r="II53" i="4"/>
  <c r="IJ53" i="4"/>
  <c r="IK53" i="4"/>
  <c r="IL53" i="4"/>
  <c r="IM53" i="4"/>
  <c r="IN53" i="4"/>
  <c r="IO53" i="4"/>
  <c r="IP53" i="4"/>
  <c r="IQ53" i="4"/>
  <c r="IR53" i="4"/>
  <c r="IS53" i="4"/>
  <c r="IT53" i="4"/>
  <c r="IU53" i="4"/>
  <c r="IV53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DI61" i="4"/>
  <c r="DJ61" i="4"/>
  <c r="DK61" i="4"/>
  <c r="DL61" i="4"/>
  <c r="DM61" i="4"/>
  <c r="DN61" i="4"/>
  <c r="DO61" i="4"/>
  <c r="DP61" i="4"/>
  <c r="DQ61" i="4"/>
  <c r="DR61" i="4"/>
  <c r="DS61" i="4"/>
  <c r="DT61" i="4"/>
  <c r="DU61" i="4"/>
  <c r="DV61" i="4"/>
  <c r="DW61" i="4"/>
  <c r="DX61" i="4"/>
  <c r="DY61" i="4"/>
  <c r="DZ61" i="4"/>
  <c r="EA61" i="4"/>
  <c r="EB61" i="4"/>
  <c r="EC61" i="4"/>
  <c r="ED61" i="4"/>
  <c r="EE61" i="4"/>
  <c r="EF61" i="4"/>
  <c r="EG61" i="4"/>
  <c r="EH61" i="4"/>
  <c r="EI61" i="4"/>
  <c r="EJ61" i="4"/>
  <c r="EK61" i="4"/>
  <c r="EL61" i="4"/>
  <c r="EM61" i="4"/>
  <c r="EN61" i="4"/>
  <c r="EO61" i="4"/>
  <c r="EP61" i="4"/>
  <c r="EQ61" i="4"/>
  <c r="ER61" i="4"/>
  <c r="ES61" i="4"/>
  <c r="ET61" i="4"/>
  <c r="EU61" i="4"/>
  <c r="EV61" i="4"/>
  <c r="EW61" i="4"/>
  <c r="EX61" i="4"/>
  <c r="EY61" i="4"/>
  <c r="EZ61" i="4"/>
  <c r="FA61" i="4"/>
  <c r="FB61" i="4"/>
  <c r="FC61" i="4"/>
  <c r="FD61" i="4"/>
  <c r="FE61" i="4"/>
  <c r="FF61" i="4"/>
  <c r="FG61" i="4"/>
  <c r="FH61" i="4"/>
  <c r="FI61" i="4"/>
  <c r="FJ61" i="4"/>
  <c r="FK61" i="4"/>
  <c r="FL61" i="4"/>
  <c r="FM61" i="4"/>
  <c r="FN61" i="4"/>
  <c r="FO61" i="4"/>
  <c r="FP61" i="4"/>
  <c r="FQ61" i="4"/>
  <c r="FR61" i="4"/>
  <c r="FS61" i="4"/>
  <c r="FT61" i="4"/>
  <c r="FU61" i="4"/>
  <c r="FV61" i="4"/>
  <c r="FW61" i="4"/>
  <c r="FX61" i="4"/>
  <c r="FY61" i="4"/>
  <c r="FZ61" i="4"/>
  <c r="GA61" i="4"/>
  <c r="GB61" i="4"/>
  <c r="GC61" i="4"/>
  <c r="GD61" i="4"/>
  <c r="GE61" i="4"/>
  <c r="GF61" i="4"/>
  <c r="GG61" i="4"/>
  <c r="GH61" i="4"/>
  <c r="GI61" i="4"/>
  <c r="GJ61" i="4"/>
  <c r="GK61" i="4"/>
  <c r="GL61" i="4"/>
  <c r="GM61" i="4"/>
  <c r="GN61" i="4"/>
  <c r="GO61" i="4"/>
  <c r="GP61" i="4"/>
  <c r="GQ61" i="4"/>
  <c r="GR61" i="4"/>
  <c r="GS61" i="4"/>
  <c r="GT61" i="4"/>
  <c r="GU61" i="4"/>
  <c r="GV61" i="4"/>
  <c r="GW61" i="4"/>
  <c r="GX61" i="4"/>
  <c r="GY61" i="4"/>
  <c r="GZ61" i="4"/>
  <c r="HA61" i="4"/>
  <c r="HB61" i="4"/>
  <c r="HC61" i="4"/>
  <c r="HD61" i="4"/>
  <c r="HE61" i="4"/>
  <c r="HF61" i="4"/>
  <c r="HG61" i="4"/>
  <c r="HH61" i="4"/>
  <c r="HI61" i="4"/>
  <c r="HJ61" i="4"/>
  <c r="HK61" i="4"/>
  <c r="HL61" i="4"/>
  <c r="HM61" i="4"/>
  <c r="HN61" i="4"/>
  <c r="HO61" i="4"/>
  <c r="HP61" i="4"/>
  <c r="HQ61" i="4"/>
  <c r="HR61" i="4"/>
  <c r="HS61" i="4"/>
  <c r="HT61" i="4"/>
  <c r="HU61" i="4"/>
  <c r="HV61" i="4"/>
  <c r="HW61" i="4"/>
  <c r="HX61" i="4"/>
  <c r="HY61" i="4"/>
  <c r="HZ61" i="4"/>
  <c r="IA61" i="4"/>
  <c r="IB61" i="4"/>
  <c r="IC61" i="4"/>
  <c r="ID61" i="4"/>
  <c r="IE61" i="4"/>
  <c r="IF61" i="4"/>
  <c r="IG61" i="4"/>
  <c r="IH61" i="4"/>
  <c r="II61" i="4"/>
  <c r="IJ61" i="4"/>
  <c r="IK61" i="4"/>
  <c r="IL61" i="4"/>
  <c r="IM61" i="4"/>
  <c r="IN61" i="4"/>
  <c r="IO61" i="4"/>
  <c r="IP61" i="4"/>
  <c r="IQ61" i="4"/>
  <c r="IR61" i="4"/>
  <c r="IS61" i="4"/>
  <c r="IT61" i="4"/>
  <c r="IU61" i="4"/>
  <c r="IV61" i="4"/>
  <c r="B31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DV43" i="4"/>
  <c r="DW43" i="4"/>
  <c r="DX43" i="4"/>
  <c r="DY43" i="4"/>
  <c r="DZ43" i="4"/>
  <c r="EA43" i="4"/>
  <c r="EB43" i="4"/>
  <c r="EC43" i="4"/>
  <c r="ED43" i="4"/>
  <c r="EE43" i="4"/>
  <c r="EF43" i="4"/>
  <c r="EG43" i="4"/>
  <c r="EH43" i="4"/>
  <c r="EI43" i="4"/>
  <c r="EJ43" i="4"/>
  <c r="EK43" i="4"/>
  <c r="EL43" i="4"/>
  <c r="EM43" i="4"/>
  <c r="EN43" i="4"/>
  <c r="EO43" i="4"/>
  <c r="EP43" i="4"/>
  <c r="EQ43" i="4"/>
  <c r="ER43" i="4"/>
  <c r="ES43" i="4"/>
  <c r="ET43" i="4"/>
  <c r="EU43" i="4"/>
  <c r="EV43" i="4"/>
  <c r="EW43" i="4"/>
  <c r="EX43" i="4"/>
  <c r="EY43" i="4"/>
  <c r="EZ43" i="4"/>
  <c r="FA43" i="4"/>
  <c r="FB43" i="4"/>
  <c r="FC43" i="4"/>
  <c r="FD43" i="4"/>
  <c r="FE43" i="4"/>
  <c r="FF43" i="4"/>
  <c r="FG43" i="4"/>
  <c r="FH43" i="4"/>
  <c r="FI43" i="4"/>
  <c r="FJ43" i="4"/>
  <c r="FK43" i="4"/>
  <c r="FL43" i="4"/>
  <c r="FM43" i="4"/>
  <c r="FN43" i="4"/>
  <c r="FO43" i="4"/>
  <c r="FP43" i="4"/>
  <c r="FQ43" i="4"/>
  <c r="FR43" i="4"/>
  <c r="FS43" i="4"/>
  <c r="FT43" i="4"/>
  <c r="FU43" i="4"/>
  <c r="FV43" i="4"/>
  <c r="FW43" i="4"/>
  <c r="FX43" i="4"/>
  <c r="FY43" i="4"/>
  <c r="FZ43" i="4"/>
  <c r="GA43" i="4"/>
  <c r="GB43" i="4"/>
  <c r="GC43" i="4"/>
  <c r="GD43" i="4"/>
  <c r="GE43" i="4"/>
  <c r="GF43" i="4"/>
  <c r="GG43" i="4"/>
  <c r="GH43" i="4"/>
  <c r="GI43" i="4"/>
  <c r="GJ43" i="4"/>
  <c r="GK43" i="4"/>
  <c r="GL43" i="4"/>
  <c r="GM43" i="4"/>
  <c r="GN43" i="4"/>
  <c r="GO43" i="4"/>
  <c r="GP43" i="4"/>
  <c r="GQ43" i="4"/>
  <c r="GR43" i="4"/>
  <c r="GS43" i="4"/>
  <c r="GT43" i="4"/>
  <c r="GU43" i="4"/>
  <c r="GV43" i="4"/>
  <c r="GW43" i="4"/>
  <c r="GX43" i="4"/>
  <c r="GY43" i="4"/>
  <c r="GZ43" i="4"/>
  <c r="HA43" i="4"/>
  <c r="HB43" i="4"/>
  <c r="HC43" i="4"/>
  <c r="HD43" i="4"/>
  <c r="HE43" i="4"/>
  <c r="HF43" i="4"/>
  <c r="HG43" i="4"/>
  <c r="HH43" i="4"/>
  <c r="HI43" i="4"/>
  <c r="HJ43" i="4"/>
  <c r="HK43" i="4"/>
  <c r="HL43" i="4"/>
  <c r="HM43" i="4"/>
  <c r="HN43" i="4"/>
  <c r="HO43" i="4"/>
  <c r="HP43" i="4"/>
  <c r="HQ43" i="4"/>
  <c r="HR43" i="4"/>
  <c r="HS43" i="4"/>
  <c r="HT43" i="4"/>
  <c r="HU43" i="4"/>
  <c r="HV43" i="4"/>
  <c r="HW43" i="4"/>
  <c r="HX43" i="4"/>
  <c r="HY43" i="4"/>
  <c r="HZ43" i="4"/>
  <c r="IA43" i="4"/>
  <c r="IB43" i="4"/>
  <c r="IC43" i="4"/>
  <c r="ID43" i="4"/>
  <c r="IE43" i="4"/>
  <c r="IF43" i="4"/>
  <c r="IG43" i="4"/>
  <c r="IH43" i="4"/>
  <c r="II43" i="4"/>
  <c r="IJ43" i="4"/>
  <c r="IK43" i="4"/>
  <c r="IL43" i="4"/>
  <c r="IM43" i="4"/>
  <c r="IN43" i="4"/>
  <c r="IO43" i="4"/>
  <c r="IP43" i="4"/>
  <c r="IQ43" i="4"/>
  <c r="IR43" i="4"/>
  <c r="IS43" i="4"/>
  <c r="IT43" i="4"/>
  <c r="IU43" i="4"/>
  <c r="IV43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DV38" i="4"/>
  <c r="DW38" i="4"/>
  <c r="DX38" i="4"/>
  <c r="DY38" i="4"/>
  <c r="DZ38" i="4"/>
  <c r="EA38" i="4"/>
  <c r="EB38" i="4"/>
  <c r="EC38" i="4"/>
  <c r="ED38" i="4"/>
  <c r="EE38" i="4"/>
  <c r="EF38" i="4"/>
  <c r="EG38" i="4"/>
  <c r="EH38" i="4"/>
  <c r="EI38" i="4"/>
  <c r="EJ38" i="4"/>
  <c r="EK38" i="4"/>
  <c r="EL38" i="4"/>
  <c r="EM38" i="4"/>
  <c r="EN38" i="4"/>
  <c r="EO38" i="4"/>
  <c r="EP38" i="4"/>
  <c r="EQ38" i="4"/>
  <c r="ER38" i="4"/>
  <c r="ES38" i="4"/>
  <c r="ET38" i="4"/>
  <c r="EU38" i="4"/>
  <c r="EV38" i="4"/>
  <c r="EW38" i="4"/>
  <c r="EX38" i="4"/>
  <c r="EY38" i="4"/>
  <c r="EZ38" i="4"/>
  <c r="FA38" i="4"/>
  <c r="FB38" i="4"/>
  <c r="FC38" i="4"/>
  <c r="FD38" i="4"/>
  <c r="FE38" i="4"/>
  <c r="FF38" i="4"/>
  <c r="FG38" i="4"/>
  <c r="FH38" i="4"/>
  <c r="FI38" i="4"/>
  <c r="FJ38" i="4"/>
  <c r="FK38" i="4"/>
  <c r="FL38" i="4"/>
  <c r="FM38" i="4"/>
  <c r="FN38" i="4"/>
  <c r="FO38" i="4"/>
  <c r="FP38" i="4"/>
  <c r="FQ38" i="4"/>
  <c r="FR38" i="4"/>
  <c r="FS38" i="4"/>
  <c r="FT38" i="4"/>
  <c r="FU38" i="4"/>
  <c r="FV38" i="4"/>
  <c r="FW38" i="4"/>
  <c r="FX38" i="4"/>
  <c r="FY38" i="4"/>
  <c r="FZ38" i="4"/>
  <c r="GA38" i="4"/>
  <c r="GB38" i="4"/>
  <c r="GC38" i="4"/>
  <c r="GD38" i="4"/>
  <c r="GE38" i="4"/>
  <c r="GF38" i="4"/>
  <c r="GG38" i="4"/>
  <c r="GH38" i="4"/>
  <c r="GI38" i="4"/>
  <c r="GJ38" i="4"/>
  <c r="GK38" i="4"/>
  <c r="GL38" i="4"/>
  <c r="GM38" i="4"/>
  <c r="GN38" i="4"/>
  <c r="GO38" i="4"/>
  <c r="GP38" i="4"/>
  <c r="GQ38" i="4"/>
  <c r="GR38" i="4"/>
  <c r="GS38" i="4"/>
  <c r="GT38" i="4"/>
  <c r="GU38" i="4"/>
  <c r="GV38" i="4"/>
  <c r="GW38" i="4"/>
  <c r="GX38" i="4"/>
  <c r="GY38" i="4"/>
  <c r="GZ38" i="4"/>
  <c r="HA38" i="4"/>
  <c r="HB38" i="4"/>
  <c r="HC38" i="4"/>
  <c r="HD38" i="4"/>
  <c r="HE38" i="4"/>
  <c r="HF38" i="4"/>
  <c r="HG38" i="4"/>
  <c r="HH38" i="4"/>
  <c r="HI38" i="4"/>
  <c r="HJ38" i="4"/>
  <c r="HK38" i="4"/>
  <c r="HL38" i="4"/>
  <c r="HM38" i="4"/>
  <c r="HN38" i="4"/>
  <c r="HO38" i="4"/>
  <c r="HP38" i="4"/>
  <c r="HQ38" i="4"/>
  <c r="HR38" i="4"/>
  <c r="HS38" i="4"/>
  <c r="HT38" i="4"/>
  <c r="HU38" i="4"/>
  <c r="HV38" i="4"/>
  <c r="HW38" i="4"/>
  <c r="HX38" i="4"/>
  <c r="HY38" i="4"/>
  <c r="HZ38" i="4"/>
  <c r="IA38" i="4"/>
  <c r="IB38" i="4"/>
  <c r="IC38" i="4"/>
  <c r="ID38" i="4"/>
  <c r="IE38" i="4"/>
  <c r="IF38" i="4"/>
  <c r="IG38" i="4"/>
  <c r="IH38" i="4"/>
  <c r="II38" i="4"/>
  <c r="IJ38" i="4"/>
  <c r="IK38" i="4"/>
  <c r="IL38" i="4"/>
  <c r="IM38" i="4"/>
  <c r="IN38" i="4"/>
  <c r="IO38" i="4"/>
  <c r="IP38" i="4"/>
  <c r="IQ38" i="4"/>
  <c r="IR38" i="4"/>
  <c r="IS38" i="4"/>
  <c r="IT38" i="4"/>
  <c r="IU38" i="4"/>
  <c r="IV3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DH29" i="4"/>
  <c r="DI29" i="4"/>
  <c r="DJ29" i="4"/>
  <c r="DK29" i="4"/>
  <c r="DL29" i="4"/>
  <c r="DM29" i="4"/>
  <c r="DN29" i="4"/>
  <c r="DO29" i="4"/>
  <c r="DP29" i="4"/>
  <c r="DQ29" i="4"/>
  <c r="DR29" i="4"/>
  <c r="DS29" i="4"/>
  <c r="DT29" i="4"/>
  <c r="DU29" i="4"/>
  <c r="DV29" i="4"/>
  <c r="DW29" i="4"/>
  <c r="DX29" i="4"/>
  <c r="DY29" i="4"/>
  <c r="DZ29" i="4"/>
  <c r="EA29" i="4"/>
  <c r="EB29" i="4"/>
  <c r="EC29" i="4"/>
  <c r="ED29" i="4"/>
  <c r="EE29" i="4"/>
  <c r="EF29" i="4"/>
  <c r="EG29" i="4"/>
  <c r="EH29" i="4"/>
  <c r="EI29" i="4"/>
  <c r="EJ29" i="4"/>
  <c r="EK29" i="4"/>
  <c r="EL29" i="4"/>
  <c r="EM29" i="4"/>
  <c r="EN29" i="4"/>
  <c r="EO29" i="4"/>
  <c r="EP29" i="4"/>
  <c r="EQ29" i="4"/>
  <c r="ER29" i="4"/>
  <c r="ES29" i="4"/>
  <c r="ET29" i="4"/>
  <c r="EU29" i="4"/>
  <c r="EV29" i="4"/>
  <c r="EW29" i="4"/>
  <c r="EX29" i="4"/>
  <c r="EY29" i="4"/>
  <c r="EZ29" i="4"/>
  <c r="FA29" i="4"/>
  <c r="FB29" i="4"/>
  <c r="FC29" i="4"/>
  <c r="FD29" i="4"/>
  <c r="FE29" i="4"/>
  <c r="FF29" i="4"/>
  <c r="FG29" i="4"/>
  <c r="FH29" i="4"/>
  <c r="FI29" i="4"/>
  <c r="FJ29" i="4"/>
  <c r="FK29" i="4"/>
  <c r="FL29" i="4"/>
  <c r="FM29" i="4"/>
  <c r="FN29" i="4"/>
  <c r="FO29" i="4"/>
  <c r="FP29" i="4"/>
  <c r="FQ29" i="4"/>
  <c r="FR29" i="4"/>
  <c r="FS29" i="4"/>
  <c r="FT29" i="4"/>
  <c r="FU29" i="4"/>
  <c r="FV29" i="4"/>
  <c r="FW29" i="4"/>
  <c r="FX29" i="4"/>
  <c r="FY29" i="4"/>
  <c r="FZ29" i="4"/>
  <c r="GA29" i="4"/>
  <c r="GB29" i="4"/>
  <c r="GC29" i="4"/>
  <c r="GD29" i="4"/>
  <c r="GE29" i="4"/>
  <c r="GF29" i="4"/>
  <c r="GG29" i="4"/>
  <c r="GH29" i="4"/>
  <c r="GI29" i="4"/>
  <c r="GJ29" i="4"/>
  <c r="GK29" i="4"/>
  <c r="GL29" i="4"/>
  <c r="GM29" i="4"/>
  <c r="GN29" i="4"/>
  <c r="GO29" i="4"/>
  <c r="GP29" i="4"/>
  <c r="GQ29" i="4"/>
  <c r="GR29" i="4"/>
  <c r="GS29" i="4"/>
  <c r="GT29" i="4"/>
  <c r="GU29" i="4"/>
  <c r="GV29" i="4"/>
  <c r="GW29" i="4"/>
  <c r="GX29" i="4"/>
  <c r="GY29" i="4"/>
  <c r="GZ29" i="4"/>
  <c r="HA29" i="4"/>
  <c r="HB29" i="4"/>
  <c r="HC29" i="4"/>
  <c r="HD29" i="4"/>
  <c r="HE29" i="4"/>
  <c r="HF29" i="4"/>
  <c r="HG29" i="4"/>
  <c r="HH29" i="4"/>
  <c r="HI29" i="4"/>
  <c r="HJ29" i="4"/>
  <c r="HK29" i="4"/>
  <c r="HL29" i="4"/>
  <c r="HM29" i="4"/>
  <c r="HN29" i="4"/>
  <c r="HO29" i="4"/>
  <c r="HP29" i="4"/>
  <c r="HQ29" i="4"/>
  <c r="HR29" i="4"/>
  <c r="HS29" i="4"/>
  <c r="HT29" i="4"/>
  <c r="HU29" i="4"/>
  <c r="HV29" i="4"/>
  <c r="HW29" i="4"/>
  <c r="HX29" i="4"/>
  <c r="HY29" i="4"/>
  <c r="HZ29" i="4"/>
  <c r="IA29" i="4"/>
  <c r="IB29" i="4"/>
  <c r="IC29" i="4"/>
  <c r="ID29" i="4"/>
  <c r="IE29" i="4"/>
  <c r="IF29" i="4"/>
  <c r="IG29" i="4"/>
  <c r="IH29" i="4"/>
  <c r="II29" i="4"/>
  <c r="IJ29" i="4"/>
  <c r="IK29" i="4"/>
  <c r="IL29" i="4"/>
  <c r="IM29" i="4"/>
  <c r="IN29" i="4"/>
  <c r="IO29" i="4"/>
  <c r="IP29" i="4"/>
  <c r="IQ29" i="4"/>
  <c r="IR29" i="4"/>
  <c r="IS29" i="4"/>
  <c r="IT29" i="4"/>
  <c r="IU29" i="4"/>
  <c r="IV29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DI47" i="4"/>
  <c r="DJ47" i="4"/>
  <c r="DK47" i="4"/>
  <c r="DL47" i="4"/>
  <c r="DM47" i="4"/>
  <c r="DN47" i="4"/>
  <c r="DO47" i="4"/>
  <c r="DP47" i="4"/>
  <c r="DQ47" i="4"/>
  <c r="DR47" i="4"/>
  <c r="DS47" i="4"/>
  <c r="DT47" i="4"/>
  <c r="DU47" i="4"/>
  <c r="DV47" i="4"/>
  <c r="DW47" i="4"/>
  <c r="DX47" i="4"/>
  <c r="DY47" i="4"/>
  <c r="DZ47" i="4"/>
  <c r="EA47" i="4"/>
  <c r="EB47" i="4"/>
  <c r="EC47" i="4"/>
  <c r="ED47" i="4"/>
  <c r="EE47" i="4"/>
  <c r="EF47" i="4"/>
  <c r="EG47" i="4"/>
  <c r="EH47" i="4"/>
  <c r="EI47" i="4"/>
  <c r="EJ47" i="4"/>
  <c r="EK47" i="4"/>
  <c r="EL47" i="4"/>
  <c r="EM47" i="4"/>
  <c r="EN47" i="4"/>
  <c r="EO47" i="4"/>
  <c r="EP47" i="4"/>
  <c r="EQ47" i="4"/>
  <c r="ER47" i="4"/>
  <c r="ES47" i="4"/>
  <c r="ET47" i="4"/>
  <c r="EU47" i="4"/>
  <c r="EV47" i="4"/>
  <c r="EW47" i="4"/>
  <c r="EX47" i="4"/>
  <c r="EY47" i="4"/>
  <c r="EZ47" i="4"/>
  <c r="FA47" i="4"/>
  <c r="FB47" i="4"/>
  <c r="FC47" i="4"/>
  <c r="FD47" i="4"/>
  <c r="FE47" i="4"/>
  <c r="FF47" i="4"/>
  <c r="FG47" i="4"/>
  <c r="FH47" i="4"/>
  <c r="FI47" i="4"/>
  <c r="FJ47" i="4"/>
  <c r="FK47" i="4"/>
  <c r="FL47" i="4"/>
  <c r="FM47" i="4"/>
  <c r="FN47" i="4"/>
  <c r="FO47" i="4"/>
  <c r="FP47" i="4"/>
  <c r="FQ47" i="4"/>
  <c r="FR47" i="4"/>
  <c r="FS47" i="4"/>
  <c r="FT47" i="4"/>
  <c r="FU47" i="4"/>
  <c r="FV47" i="4"/>
  <c r="FW47" i="4"/>
  <c r="FX47" i="4"/>
  <c r="FY47" i="4"/>
  <c r="FZ47" i="4"/>
  <c r="GA47" i="4"/>
  <c r="GB47" i="4"/>
  <c r="GC47" i="4"/>
  <c r="GD47" i="4"/>
  <c r="GE47" i="4"/>
  <c r="GF47" i="4"/>
  <c r="GG47" i="4"/>
  <c r="GH47" i="4"/>
  <c r="GI47" i="4"/>
  <c r="GJ47" i="4"/>
  <c r="GK47" i="4"/>
  <c r="GL47" i="4"/>
  <c r="GM47" i="4"/>
  <c r="GN47" i="4"/>
  <c r="GO47" i="4"/>
  <c r="GP47" i="4"/>
  <c r="GQ47" i="4"/>
  <c r="GR47" i="4"/>
  <c r="GS47" i="4"/>
  <c r="GT47" i="4"/>
  <c r="GU47" i="4"/>
  <c r="GV47" i="4"/>
  <c r="GW47" i="4"/>
  <c r="GX47" i="4"/>
  <c r="GY47" i="4"/>
  <c r="GZ47" i="4"/>
  <c r="HA47" i="4"/>
  <c r="HB47" i="4"/>
  <c r="HC47" i="4"/>
  <c r="HD47" i="4"/>
  <c r="HE47" i="4"/>
  <c r="HF47" i="4"/>
  <c r="HG47" i="4"/>
  <c r="HH47" i="4"/>
  <c r="HI47" i="4"/>
  <c r="HJ47" i="4"/>
  <c r="HK47" i="4"/>
  <c r="HL47" i="4"/>
  <c r="HM47" i="4"/>
  <c r="HN47" i="4"/>
  <c r="HO47" i="4"/>
  <c r="HP47" i="4"/>
  <c r="HQ47" i="4"/>
  <c r="HR47" i="4"/>
  <c r="HS47" i="4"/>
  <c r="HT47" i="4"/>
  <c r="HU47" i="4"/>
  <c r="HV47" i="4"/>
  <c r="HW47" i="4"/>
  <c r="HX47" i="4"/>
  <c r="HY47" i="4"/>
  <c r="HZ47" i="4"/>
  <c r="IA47" i="4"/>
  <c r="IB47" i="4"/>
  <c r="IC47" i="4"/>
  <c r="ID47" i="4"/>
  <c r="IE47" i="4"/>
  <c r="IF47" i="4"/>
  <c r="IG47" i="4"/>
  <c r="IH47" i="4"/>
  <c r="II47" i="4"/>
  <c r="IJ47" i="4"/>
  <c r="IK47" i="4"/>
  <c r="IL47" i="4"/>
  <c r="IM47" i="4"/>
  <c r="IN47" i="4"/>
  <c r="IO47" i="4"/>
  <c r="IP47" i="4"/>
  <c r="IQ47" i="4"/>
  <c r="IR47" i="4"/>
  <c r="IS47" i="4"/>
  <c r="IT47" i="4"/>
  <c r="IU47" i="4"/>
  <c r="IV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DI48" i="4"/>
  <c r="DJ48" i="4"/>
  <c r="DK48" i="4"/>
  <c r="DL48" i="4"/>
  <c r="DM48" i="4"/>
  <c r="DN48" i="4"/>
  <c r="DO48" i="4"/>
  <c r="DP48" i="4"/>
  <c r="DQ48" i="4"/>
  <c r="DR48" i="4"/>
  <c r="DS48" i="4"/>
  <c r="DT48" i="4"/>
  <c r="DU48" i="4"/>
  <c r="DV48" i="4"/>
  <c r="DW48" i="4"/>
  <c r="DX48" i="4"/>
  <c r="DY48" i="4"/>
  <c r="DZ48" i="4"/>
  <c r="EA48" i="4"/>
  <c r="EB48" i="4"/>
  <c r="EC48" i="4"/>
  <c r="ED48" i="4"/>
  <c r="EE48" i="4"/>
  <c r="EF48" i="4"/>
  <c r="EG48" i="4"/>
  <c r="EH48" i="4"/>
  <c r="EI48" i="4"/>
  <c r="EJ48" i="4"/>
  <c r="EK48" i="4"/>
  <c r="EL48" i="4"/>
  <c r="EM48" i="4"/>
  <c r="EN48" i="4"/>
  <c r="EO48" i="4"/>
  <c r="EP48" i="4"/>
  <c r="EQ48" i="4"/>
  <c r="ER48" i="4"/>
  <c r="ES48" i="4"/>
  <c r="ET48" i="4"/>
  <c r="EU48" i="4"/>
  <c r="EV48" i="4"/>
  <c r="EW48" i="4"/>
  <c r="EX48" i="4"/>
  <c r="EY48" i="4"/>
  <c r="EZ48" i="4"/>
  <c r="FA48" i="4"/>
  <c r="FB48" i="4"/>
  <c r="FC48" i="4"/>
  <c r="FD48" i="4"/>
  <c r="FE48" i="4"/>
  <c r="FF48" i="4"/>
  <c r="FG48" i="4"/>
  <c r="FH48" i="4"/>
  <c r="FI48" i="4"/>
  <c r="FJ48" i="4"/>
  <c r="FK48" i="4"/>
  <c r="FL48" i="4"/>
  <c r="FM48" i="4"/>
  <c r="FN48" i="4"/>
  <c r="FO48" i="4"/>
  <c r="FP48" i="4"/>
  <c r="FQ48" i="4"/>
  <c r="FR48" i="4"/>
  <c r="FS48" i="4"/>
  <c r="FT48" i="4"/>
  <c r="FU48" i="4"/>
  <c r="FV48" i="4"/>
  <c r="FW48" i="4"/>
  <c r="FX48" i="4"/>
  <c r="FY48" i="4"/>
  <c r="FZ48" i="4"/>
  <c r="GA48" i="4"/>
  <c r="GB48" i="4"/>
  <c r="GC48" i="4"/>
  <c r="GD48" i="4"/>
  <c r="GE48" i="4"/>
  <c r="GF48" i="4"/>
  <c r="GG48" i="4"/>
  <c r="GH48" i="4"/>
  <c r="GI48" i="4"/>
  <c r="GJ48" i="4"/>
  <c r="GK48" i="4"/>
  <c r="GL48" i="4"/>
  <c r="GM48" i="4"/>
  <c r="GN48" i="4"/>
  <c r="GO48" i="4"/>
  <c r="GP48" i="4"/>
  <c r="GQ48" i="4"/>
  <c r="GR48" i="4"/>
  <c r="GS48" i="4"/>
  <c r="GT48" i="4"/>
  <c r="GU48" i="4"/>
  <c r="GV48" i="4"/>
  <c r="GW48" i="4"/>
  <c r="GX48" i="4"/>
  <c r="GY48" i="4"/>
  <c r="GZ48" i="4"/>
  <c r="HA48" i="4"/>
  <c r="HB48" i="4"/>
  <c r="HC48" i="4"/>
  <c r="HD48" i="4"/>
  <c r="HE48" i="4"/>
  <c r="HF48" i="4"/>
  <c r="HG48" i="4"/>
  <c r="HH48" i="4"/>
  <c r="HI48" i="4"/>
  <c r="HJ48" i="4"/>
  <c r="HK48" i="4"/>
  <c r="HL48" i="4"/>
  <c r="HM48" i="4"/>
  <c r="HN48" i="4"/>
  <c r="HO48" i="4"/>
  <c r="HP48" i="4"/>
  <c r="HQ48" i="4"/>
  <c r="HR48" i="4"/>
  <c r="HS48" i="4"/>
  <c r="HT48" i="4"/>
  <c r="HU48" i="4"/>
  <c r="HV48" i="4"/>
  <c r="HW48" i="4"/>
  <c r="HX48" i="4"/>
  <c r="HY48" i="4"/>
  <c r="HZ48" i="4"/>
  <c r="IA48" i="4"/>
  <c r="IB48" i="4"/>
  <c r="IC48" i="4"/>
  <c r="ID48" i="4"/>
  <c r="IE48" i="4"/>
  <c r="IF48" i="4"/>
  <c r="IG48" i="4"/>
  <c r="IH48" i="4"/>
  <c r="II48" i="4"/>
  <c r="IJ48" i="4"/>
  <c r="IK48" i="4"/>
  <c r="IL48" i="4"/>
  <c r="IM48" i="4"/>
  <c r="IN48" i="4"/>
  <c r="IO48" i="4"/>
  <c r="IP48" i="4"/>
  <c r="IQ48" i="4"/>
  <c r="IR48" i="4"/>
  <c r="IS48" i="4"/>
  <c r="IT48" i="4"/>
  <c r="IU48" i="4"/>
  <c r="IV48" i="4"/>
  <c r="C17" i="4" l="1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DY17" i="4"/>
  <c r="DZ17" i="4"/>
  <c r="EA17" i="4"/>
  <c r="EB17" i="4"/>
  <c r="EC17" i="4"/>
  <c r="ED17" i="4"/>
  <c r="EE17" i="4"/>
  <c r="EF17" i="4"/>
  <c r="EG17" i="4"/>
  <c r="EH17" i="4"/>
  <c r="EI17" i="4"/>
  <c r="EJ17" i="4"/>
  <c r="EK17" i="4"/>
  <c r="EL17" i="4"/>
  <c r="EM17" i="4"/>
  <c r="EN17" i="4"/>
  <c r="EO17" i="4"/>
  <c r="EP17" i="4"/>
  <c r="EQ17" i="4"/>
  <c r="ER17" i="4"/>
  <c r="ES17" i="4"/>
  <c r="ET17" i="4"/>
  <c r="EU17" i="4"/>
  <c r="EV17" i="4"/>
  <c r="EW17" i="4"/>
  <c r="EX17" i="4"/>
  <c r="EY17" i="4"/>
  <c r="EZ17" i="4"/>
  <c r="FA17" i="4"/>
  <c r="FB17" i="4"/>
  <c r="FC17" i="4"/>
  <c r="FD17" i="4"/>
  <c r="FE17" i="4"/>
  <c r="FF17" i="4"/>
  <c r="FG17" i="4"/>
  <c r="FH17" i="4"/>
  <c r="FI17" i="4"/>
  <c r="FJ17" i="4"/>
  <c r="FK17" i="4"/>
  <c r="FL17" i="4"/>
  <c r="FM17" i="4"/>
  <c r="FN17" i="4"/>
  <c r="FO17" i="4"/>
  <c r="FP17" i="4"/>
  <c r="FQ17" i="4"/>
  <c r="FR17" i="4"/>
  <c r="FS17" i="4"/>
  <c r="FT17" i="4"/>
  <c r="FU17" i="4"/>
  <c r="FV17" i="4"/>
  <c r="FW17" i="4"/>
  <c r="FX17" i="4"/>
  <c r="FY17" i="4"/>
  <c r="FZ17" i="4"/>
  <c r="GA17" i="4"/>
  <c r="GB17" i="4"/>
  <c r="GC17" i="4"/>
  <c r="GD17" i="4"/>
  <c r="GE17" i="4"/>
  <c r="GF17" i="4"/>
  <c r="GG17" i="4"/>
  <c r="GH17" i="4"/>
  <c r="GI17" i="4"/>
  <c r="GJ17" i="4"/>
  <c r="GK17" i="4"/>
  <c r="GL17" i="4"/>
  <c r="GM17" i="4"/>
  <c r="GN17" i="4"/>
  <c r="GO17" i="4"/>
  <c r="GP17" i="4"/>
  <c r="GQ17" i="4"/>
  <c r="GR17" i="4"/>
  <c r="GS17" i="4"/>
  <c r="GT17" i="4"/>
  <c r="GU17" i="4"/>
  <c r="GV17" i="4"/>
  <c r="GW17" i="4"/>
  <c r="GX17" i="4"/>
  <c r="GY17" i="4"/>
  <c r="GZ17" i="4"/>
  <c r="HA17" i="4"/>
  <c r="HB17" i="4"/>
  <c r="HC17" i="4"/>
  <c r="HD17" i="4"/>
  <c r="HE17" i="4"/>
  <c r="HF17" i="4"/>
  <c r="HG17" i="4"/>
  <c r="HH17" i="4"/>
  <c r="HI17" i="4"/>
  <c r="HJ17" i="4"/>
  <c r="HK17" i="4"/>
  <c r="HL17" i="4"/>
  <c r="HM17" i="4"/>
  <c r="HN17" i="4"/>
  <c r="HO17" i="4"/>
  <c r="HP17" i="4"/>
  <c r="HQ17" i="4"/>
  <c r="HR17" i="4"/>
  <c r="HS17" i="4"/>
  <c r="HT17" i="4"/>
  <c r="HU17" i="4"/>
  <c r="HV17" i="4"/>
  <c r="HW17" i="4"/>
  <c r="HX17" i="4"/>
  <c r="HY17" i="4"/>
  <c r="HZ17" i="4"/>
  <c r="IA17" i="4"/>
  <c r="IB17" i="4"/>
  <c r="IC17" i="4"/>
  <c r="ID17" i="4"/>
  <c r="IE17" i="4"/>
  <c r="IF17" i="4"/>
  <c r="IG17" i="4"/>
  <c r="IH17" i="4"/>
  <c r="II17" i="4"/>
  <c r="IJ17" i="4"/>
  <c r="IK17" i="4"/>
  <c r="IL17" i="4"/>
  <c r="IM17" i="4"/>
  <c r="IN17" i="4"/>
  <c r="IO17" i="4"/>
  <c r="IP17" i="4"/>
  <c r="IQ17" i="4"/>
  <c r="IR17" i="4"/>
  <c r="IS17" i="4"/>
  <c r="IT17" i="4"/>
  <c r="IU17" i="4"/>
  <c r="IV17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DV16" i="4"/>
  <c r="DW16" i="4"/>
  <c r="DX16" i="4"/>
  <c r="DY16" i="4"/>
  <c r="DZ16" i="4"/>
  <c r="EA16" i="4"/>
  <c r="EB16" i="4"/>
  <c r="EC16" i="4"/>
  <c r="ED16" i="4"/>
  <c r="EE16" i="4"/>
  <c r="EF16" i="4"/>
  <c r="EG16" i="4"/>
  <c r="EH16" i="4"/>
  <c r="EI16" i="4"/>
  <c r="EJ16" i="4"/>
  <c r="EK16" i="4"/>
  <c r="EL16" i="4"/>
  <c r="EM16" i="4"/>
  <c r="EN16" i="4"/>
  <c r="EO16" i="4"/>
  <c r="EP16" i="4"/>
  <c r="EQ16" i="4"/>
  <c r="ER16" i="4"/>
  <c r="ES16" i="4"/>
  <c r="ET16" i="4"/>
  <c r="EU16" i="4"/>
  <c r="EV16" i="4"/>
  <c r="EW16" i="4"/>
  <c r="EX16" i="4"/>
  <c r="EY16" i="4"/>
  <c r="EZ16" i="4"/>
  <c r="FA16" i="4"/>
  <c r="FB16" i="4"/>
  <c r="FC16" i="4"/>
  <c r="FD16" i="4"/>
  <c r="FE16" i="4"/>
  <c r="FF16" i="4"/>
  <c r="FG16" i="4"/>
  <c r="FH16" i="4"/>
  <c r="FI16" i="4"/>
  <c r="FJ16" i="4"/>
  <c r="FK16" i="4"/>
  <c r="FL16" i="4"/>
  <c r="FM16" i="4"/>
  <c r="FN16" i="4"/>
  <c r="FO16" i="4"/>
  <c r="FP16" i="4"/>
  <c r="FQ16" i="4"/>
  <c r="FR16" i="4"/>
  <c r="FS16" i="4"/>
  <c r="FT16" i="4"/>
  <c r="FU16" i="4"/>
  <c r="FV16" i="4"/>
  <c r="FW16" i="4"/>
  <c r="FX16" i="4"/>
  <c r="FY16" i="4"/>
  <c r="FZ16" i="4"/>
  <c r="GA16" i="4"/>
  <c r="GB16" i="4"/>
  <c r="GC16" i="4"/>
  <c r="GD16" i="4"/>
  <c r="GE16" i="4"/>
  <c r="GF16" i="4"/>
  <c r="GG16" i="4"/>
  <c r="GH16" i="4"/>
  <c r="GI16" i="4"/>
  <c r="GJ16" i="4"/>
  <c r="GK16" i="4"/>
  <c r="GL16" i="4"/>
  <c r="GM16" i="4"/>
  <c r="GN16" i="4"/>
  <c r="GO16" i="4"/>
  <c r="GP16" i="4"/>
  <c r="GQ16" i="4"/>
  <c r="GR16" i="4"/>
  <c r="GS16" i="4"/>
  <c r="GT16" i="4"/>
  <c r="GU16" i="4"/>
  <c r="GV16" i="4"/>
  <c r="GW16" i="4"/>
  <c r="GX16" i="4"/>
  <c r="GY16" i="4"/>
  <c r="GZ16" i="4"/>
  <c r="HA16" i="4"/>
  <c r="HB16" i="4"/>
  <c r="HC16" i="4"/>
  <c r="HD16" i="4"/>
  <c r="HE16" i="4"/>
  <c r="HF16" i="4"/>
  <c r="HG16" i="4"/>
  <c r="HH16" i="4"/>
  <c r="HI16" i="4"/>
  <c r="HJ16" i="4"/>
  <c r="HK16" i="4"/>
  <c r="HL16" i="4"/>
  <c r="HM16" i="4"/>
  <c r="HN16" i="4"/>
  <c r="HO16" i="4"/>
  <c r="HP16" i="4"/>
  <c r="HQ16" i="4"/>
  <c r="HR16" i="4"/>
  <c r="HS16" i="4"/>
  <c r="HT16" i="4"/>
  <c r="HU16" i="4"/>
  <c r="HV16" i="4"/>
  <c r="HW16" i="4"/>
  <c r="HX16" i="4"/>
  <c r="HY16" i="4"/>
  <c r="HZ16" i="4"/>
  <c r="IA16" i="4"/>
  <c r="IB16" i="4"/>
  <c r="IC16" i="4"/>
  <c r="ID16" i="4"/>
  <c r="IE16" i="4"/>
  <c r="IF16" i="4"/>
  <c r="IG16" i="4"/>
  <c r="IH16" i="4"/>
  <c r="II16" i="4"/>
  <c r="IJ16" i="4"/>
  <c r="IK16" i="4"/>
  <c r="IL16" i="4"/>
  <c r="IM16" i="4"/>
  <c r="IN16" i="4"/>
  <c r="IO16" i="4"/>
  <c r="IP16" i="4"/>
  <c r="IQ16" i="4"/>
  <c r="IR16" i="4"/>
  <c r="IS16" i="4"/>
  <c r="IT16" i="4"/>
  <c r="IU16" i="4"/>
  <c r="IV16" i="4"/>
  <c r="D13" i="4"/>
  <c r="E13" i="4"/>
  <c r="F13" i="4"/>
  <c r="G13" i="4"/>
  <c r="G15" i="4" s="1"/>
  <c r="H13" i="4"/>
  <c r="I13" i="4"/>
  <c r="J13" i="4"/>
  <c r="K13" i="4"/>
  <c r="K15" i="4" s="1"/>
  <c r="L13" i="4"/>
  <c r="M13" i="4"/>
  <c r="N13" i="4"/>
  <c r="O13" i="4"/>
  <c r="O15" i="4" s="1"/>
  <c r="P13" i="4"/>
  <c r="Q13" i="4"/>
  <c r="R13" i="4"/>
  <c r="S13" i="4"/>
  <c r="S15" i="4" s="1"/>
  <c r="T13" i="4"/>
  <c r="U13" i="4"/>
  <c r="V13" i="4"/>
  <c r="W13" i="4"/>
  <c r="W15" i="4" s="1"/>
  <c r="X13" i="4"/>
  <c r="Y13" i="4"/>
  <c r="Z13" i="4"/>
  <c r="AA13" i="4"/>
  <c r="AA15" i="4" s="1"/>
  <c r="AB13" i="4"/>
  <c r="AC13" i="4"/>
  <c r="AD13" i="4"/>
  <c r="AE13" i="4"/>
  <c r="AE15" i="4" s="1"/>
  <c r="AF13" i="4"/>
  <c r="AG13" i="4"/>
  <c r="AH13" i="4"/>
  <c r="AI13" i="4"/>
  <c r="AI15" i="4" s="1"/>
  <c r="AJ13" i="4"/>
  <c r="AK13" i="4"/>
  <c r="AL13" i="4"/>
  <c r="AM13" i="4"/>
  <c r="AM15" i="4" s="1"/>
  <c r="AN13" i="4"/>
  <c r="AO13" i="4"/>
  <c r="AP13" i="4"/>
  <c r="AQ13" i="4"/>
  <c r="AQ15" i="4" s="1"/>
  <c r="AR13" i="4"/>
  <c r="AS13" i="4"/>
  <c r="AT13" i="4"/>
  <c r="AU13" i="4"/>
  <c r="AU15" i="4" s="1"/>
  <c r="AV13" i="4"/>
  <c r="AW13" i="4"/>
  <c r="AX13" i="4"/>
  <c r="AY13" i="4"/>
  <c r="AY15" i="4" s="1"/>
  <c r="AZ13" i="4"/>
  <c r="BA13" i="4"/>
  <c r="BB13" i="4"/>
  <c r="BC13" i="4"/>
  <c r="BC15" i="4" s="1"/>
  <c r="BD13" i="4"/>
  <c r="BE13" i="4"/>
  <c r="BF13" i="4"/>
  <c r="BG13" i="4"/>
  <c r="BG15" i="4" s="1"/>
  <c r="BH13" i="4"/>
  <c r="BI13" i="4"/>
  <c r="BJ13" i="4"/>
  <c r="BK13" i="4"/>
  <c r="BK15" i="4" s="1"/>
  <c r="BL13" i="4"/>
  <c r="BM13" i="4"/>
  <c r="BN13" i="4"/>
  <c r="BO13" i="4"/>
  <c r="BO15" i="4" s="1"/>
  <c r="BP13" i="4"/>
  <c r="BQ13" i="4"/>
  <c r="BR13" i="4"/>
  <c r="BS13" i="4"/>
  <c r="BS15" i="4" s="1"/>
  <c r="BT13" i="4"/>
  <c r="BU13" i="4"/>
  <c r="BV13" i="4"/>
  <c r="BW13" i="4"/>
  <c r="BW15" i="4" s="1"/>
  <c r="BX13" i="4"/>
  <c r="BY13" i="4"/>
  <c r="BZ13" i="4"/>
  <c r="CA13" i="4"/>
  <c r="CA15" i="4" s="1"/>
  <c r="CB13" i="4"/>
  <c r="CC13" i="4"/>
  <c r="CD13" i="4"/>
  <c r="CE13" i="4"/>
  <c r="CE15" i="4" s="1"/>
  <c r="CF13" i="4"/>
  <c r="CG13" i="4"/>
  <c r="CH13" i="4"/>
  <c r="CI13" i="4"/>
  <c r="CI15" i="4" s="1"/>
  <c r="CJ13" i="4"/>
  <c r="CK13" i="4"/>
  <c r="CL13" i="4"/>
  <c r="CM13" i="4"/>
  <c r="CM15" i="4" s="1"/>
  <c r="CN13" i="4"/>
  <c r="CO13" i="4"/>
  <c r="CP13" i="4"/>
  <c r="CQ13" i="4"/>
  <c r="CQ15" i="4" s="1"/>
  <c r="CR13" i="4"/>
  <c r="CS13" i="4"/>
  <c r="CT13" i="4"/>
  <c r="CU13" i="4"/>
  <c r="CU15" i="4" s="1"/>
  <c r="CV13" i="4"/>
  <c r="CW13" i="4"/>
  <c r="CX13" i="4"/>
  <c r="CY13" i="4"/>
  <c r="CY15" i="4" s="1"/>
  <c r="CZ13" i="4"/>
  <c r="DA13" i="4"/>
  <c r="DB13" i="4"/>
  <c r="DC13" i="4"/>
  <c r="DC15" i="4" s="1"/>
  <c r="DD13" i="4"/>
  <c r="DE13" i="4"/>
  <c r="DF13" i="4"/>
  <c r="DG13" i="4"/>
  <c r="DG15" i="4" s="1"/>
  <c r="DH13" i="4"/>
  <c r="DI13" i="4"/>
  <c r="DJ13" i="4"/>
  <c r="DK13" i="4"/>
  <c r="DK15" i="4" s="1"/>
  <c r="DL13" i="4"/>
  <c r="DM13" i="4"/>
  <c r="DN13" i="4"/>
  <c r="DO13" i="4"/>
  <c r="DO15" i="4" s="1"/>
  <c r="DP13" i="4"/>
  <c r="DQ13" i="4"/>
  <c r="DR13" i="4"/>
  <c r="DS13" i="4"/>
  <c r="DS15" i="4" s="1"/>
  <c r="DT13" i="4"/>
  <c r="DU13" i="4"/>
  <c r="DV13" i="4"/>
  <c r="DW13" i="4"/>
  <c r="DW15" i="4" s="1"/>
  <c r="DX13" i="4"/>
  <c r="DY13" i="4"/>
  <c r="DZ13" i="4"/>
  <c r="EA13" i="4"/>
  <c r="EA15" i="4" s="1"/>
  <c r="EB13" i="4"/>
  <c r="EC13" i="4"/>
  <c r="ED13" i="4"/>
  <c r="EE13" i="4"/>
  <c r="EE15" i="4" s="1"/>
  <c r="EF13" i="4"/>
  <c r="EG13" i="4"/>
  <c r="EH13" i="4"/>
  <c r="EI13" i="4"/>
  <c r="EI15" i="4" s="1"/>
  <c r="EJ13" i="4"/>
  <c r="EK13" i="4"/>
  <c r="EL13" i="4"/>
  <c r="EM13" i="4"/>
  <c r="EM15" i="4" s="1"/>
  <c r="EN13" i="4"/>
  <c r="EO13" i="4"/>
  <c r="EP13" i="4"/>
  <c r="EQ13" i="4"/>
  <c r="EQ15" i="4" s="1"/>
  <c r="ER13" i="4"/>
  <c r="ES13" i="4"/>
  <c r="ET13" i="4"/>
  <c r="EU13" i="4"/>
  <c r="EU15" i="4" s="1"/>
  <c r="EV13" i="4"/>
  <c r="EW13" i="4"/>
  <c r="EX13" i="4"/>
  <c r="EY13" i="4"/>
  <c r="EY15" i="4" s="1"/>
  <c r="EZ13" i="4"/>
  <c r="FA13" i="4"/>
  <c r="FB13" i="4"/>
  <c r="FC13" i="4"/>
  <c r="FC15" i="4" s="1"/>
  <c r="FD13" i="4"/>
  <c r="FE13" i="4"/>
  <c r="FF13" i="4"/>
  <c r="FG13" i="4"/>
  <c r="FG15" i="4" s="1"/>
  <c r="FH13" i="4"/>
  <c r="FI13" i="4"/>
  <c r="FJ13" i="4"/>
  <c r="FK13" i="4"/>
  <c r="FK15" i="4" s="1"/>
  <c r="FL13" i="4"/>
  <c r="FM13" i="4"/>
  <c r="FN13" i="4"/>
  <c r="FO13" i="4"/>
  <c r="FO15" i="4" s="1"/>
  <c r="FP13" i="4"/>
  <c r="FQ13" i="4"/>
  <c r="FR13" i="4"/>
  <c r="FS13" i="4"/>
  <c r="FS15" i="4" s="1"/>
  <c r="FT13" i="4"/>
  <c r="FU13" i="4"/>
  <c r="FV13" i="4"/>
  <c r="FW13" i="4"/>
  <c r="FW15" i="4" s="1"/>
  <c r="FX13" i="4"/>
  <c r="FY13" i="4"/>
  <c r="FZ13" i="4"/>
  <c r="GA13" i="4"/>
  <c r="GA15" i="4" s="1"/>
  <c r="GB13" i="4"/>
  <c r="GC13" i="4"/>
  <c r="GD13" i="4"/>
  <c r="GE13" i="4"/>
  <c r="GE15" i="4" s="1"/>
  <c r="GF13" i="4"/>
  <c r="GG13" i="4"/>
  <c r="GH13" i="4"/>
  <c r="GI13" i="4"/>
  <c r="GI15" i="4" s="1"/>
  <c r="GJ13" i="4"/>
  <c r="GK13" i="4"/>
  <c r="GL13" i="4"/>
  <c r="GM13" i="4"/>
  <c r="GM15" i="4" s="1"/>
  <c r="GN13" i="4"/>
  <c r="GO13" i="4"/>
  <c r="GP13" i="4"/>
  <c r="GQ13" i="4"/>
  <c r="GQ15" i="4" s="1"/>
  <c r="GR13" i="4"/>
  <c r="GS13" i="4"/>
  <c r="GT13" i="4"/>
  <c r="GU13" i="4"/>
  <c r="GU15" i="4" s="1"/>
  <c r="GV13" i="4"/>
  <c r="GW13" i="4"/>
  <c r="GX13" i="4"/>
  <c r="GY13" i="4"/>
  <c r="GY15" i="4" s="1"/>
  <c r="GZ13" i="4"/>
  <c r="HA13" i="4"/>
  <c r="HB13" i="4"/>
  <c r="HC13" i="4"/>
  <c r="HC15" i="4" s="1"/>
  <c r="HD13" i="4"/>
  <c r="HE13" i="4"/>
  <c r="HF13" i="4"/>
  <c r="HG13" i="4"/>
  <c r="HG15" i="4" s="1"/>
  <c r="HH13" i="4"/>
  <c r="HI13" i="4"/>
  <c r="HJ13" i="4"/>
  <c r="HK13" i="4"/>
  <c r="HK15" i="4" s="1"/>
  <c r="HL13" i="4"/>
  <c r="HM13" i="4"/>
  <c r="HN13" i="4"/>
  <c r="HO13" i="4"/>
  <c r="HO15" i="4" s="1"/>
  <c r="HP13" i="4"/>
  <c r="HQ13" i="4"/>
  <c r="HR13" i="4"/>
  <c r="HS13" i="4"/>
  <c r="HS15" i="4" s="1"/>
  <c r="HT13" i="4"/>
  <c r="HU13" i="4"/>
  <c r="HV13" i="4"/>
  <c r="HW13" i="4"/>
  <c r="HW15" i="4" s="1"/>
  <c r="HX13" i="4"/>
  <c r="HY13" i="4"/>
  <c r="HZ13" i="4"/>
  <c r="IA13" i="4"/>
  <c r="IA15" i="4" s="1"/>
  <c r="IB13" i="4"/>
  <c r="IC13" i="4"/>
  <c r="ID13" i="4"/>
  <c r="IE13" i="4"/>
  <c r="IE15" i="4" s="1"/>
  <c r="IF13" i="4"/>
  <c r="IG13" i="4"/>
  <c r="IH13" i="4"/>
  <c r="II13" i="4"/>
  <c r="II15" i="4" s="1"/>
  <c r="IJ13" i="4"/>
  <c r="IK13" i="4"/>
  <c r="IL13" i="4"/>
  <c r="IM13" i="4"/>
  <c r="IM15" i="4" s="1"/>
  <c r="IN13" i="4"/>
  <c r="IO13" i="4"/>
  <c r="IP13" i="4"/>
  <c r="IQ13" i="4"/>
  <c r="IQ15" i="4" s="1"/>
  <c r="IR13" i="4"/>
  <c r="IS13" i="4"/>
  <c r="IT13" i="4"/>
  <c r="IU13" i="4"/>
  <c r="IU15" i="4" s="1"/>
  <c r="IV13" i="4"/>
  <c r="D15" i="4"/>
  <c r="E15" i="4"/>
  <c r="F15" i="4"/>
  <c r="H15" i="4"/>
  <c r="I15" i="4"/>
  <c r="J15" i="4"/>
  <c r="L15" i="4"/>
  <c r="M15" i="4"/>
  <c r="N15" i="4"/>
  <c r="P15" i="4"/>
  <c r="Q15" i="4"/>
  <c r="R15" i="4"/>
  <c r="T15" i="4"/>
  <c r="U15" i="4"/>
  <c r="V15" i="4"/>
  <c r="X15" i="4"/>
  <c r="Y15" i="4"/>
  <c r="Z15" i="4"/>
  <c r="AB15" i="4"/>
  <c r="AC15" i="4"/>
  <c r="AD15" i="4"/>
  <c r="AF15" i="4"/>
  <c r="AG15" i="4"/>
  <c r="AH15" i="4"/>
  <c r="AJ15" i="4"/>
  <c r="AK15" i="4"/>
  <c r="AL15" i="4"/>
  <c r="AN15" i="4"/>
  <c r="AO15" i="4"/>
  <c r="AP15" i="4"/>
  <c r="AR15" i="4"/>
  <c r="AS15" i="4"/>
  <c r="AT15" i="4"/>
  <c r="AV15" i="4"/>
  <c r="AW15" i="4"/>
  <c r="AX15" i="4"/>
  <c r="AZ15" i="4"/>
  <c r="BA15" i="4"/>
  <c r="BB15" i="4"/>
  <c r="BD15" i="4"/>
  <c r="BE15" i="4"/>
  <c r="BF15" i="4"/>
  <c r="BH15" i="4"/>
  <c r="BI15" i="4"/>
  <c r="BJ15" i="4"/>
  <c r="BL15" i="4"/>
  <c r="BM15" i="4"/>
  <c r="BN15" i="4"/>
  <c r="BP15" i="4"/>
  <c r="BQ15" i="4"/>
  <c r="BR15" i="4"/>
  <c r="BT15" i="4"/>
  <c r="BU15" i="4"/>
  <c r="BV15" i="4"/>
  <c r="BX15" i="4"/>
  <c r="BY15" i="4"/>
  <c r="BZ15" i="4"/>
  <c r="CB15" i="4"/>
  <c r="CC15" i="4"/>
  <c r="CD15" i="4"/>
  <c r="CF15" i="4"/>
  <c r="CG15" i="4"/>
  <c r="CH15" i="4"/>
  <c r="CJ15" i="4"/>
  <c r="CK15" i="4"/>
  <c r="CL15" i="4"/>
  <c r="CN15" i="4"/>
  <c r="CO15" i="4"/>
  <c r="CP15" i="4"/>
  <c r="CR15" i="4"/>
  <c r="CS15" i="4"/>
  <c r="CT15" i="4"/>
  <c r="CV15" i="4"/>
  <c r="CW15" i="4"/>
  <c r="CX15" i="4"/>
  <c r="CZ15" i="4"/>
  <c r="DA15" i="4"/>
  <c r="DB15" i="4"/>
  <c r="DD15" i="4"/>
  <c r="DE15" i="4"/>
  <c r="DF15" i="4"/>
  <c r="DH15" i="4"/>
  <c r="DI15" i="4"/>
  <c r="DJ15" i="4"/>
  <c r="DL15" i="4"/>
  <c r="DM15" i="4"/>
  <c r="DN15" i="4"/>
  <c r="DP15" i="4"/>
  <c r="DQ15" i="4"/>
  <c r="DR15" i="4"/>
  <c r="DT15" i="4"/>
  <c r="DU15" i="4"/>
  <c r="DV15" i="4"/>
  <c r="DX15" i="4"/>
  <c r="DY15" i="4"/>
  <c r="DZ15" i="4"/>
  <c r="EB15" i="4"/>
  <c r="EC15" i="4"/>
  <c r="ED15" i="4"/>
  <c r="EF15" i="4"/>
  <c r="EG15" i="4"/>
  <c r="EH15" i="4"/>
  <c r="EJ15" i="4"/>
  <c r="EK15" i="4"/>
  <c r="EL15" i="4"/>
  <c r="EN15" i="4"/>
  <c r="EO15" i="4"/>
  <c r="EP15" i="4"/>
  <c r="ER15" i="4"/>
  <c r="ES15" i="4"/>
  <c r="ET15" i="4"/>
  <c r="EV15" i="4"/>
  <c r="EW15" i="4"/>
  <c r="EX15" i="4"/>
  <c r="EZ15" i="4"/>
  <c r="FA15" i="4"/>
  <c r="FB15" i="4"/>
  <c r="FD15" i="4"/>
  <c r="FE15" i="4"/>
  <c r="FF15" i="4"/>
  <c r="FH15" i="4"/>
  <c r="FI15" i="4"/>
  <c r="FJ15" i="4"/>
  <c r="FL15" i="4"/>
  <c r="FM15" i="4"/>
  <c r="FN15" i="4"/>
  <c r="FP15" i="4"/>
  <c r="FQ15" i="4"/>
  <c r="FR15" i="4"/>
  <c r="FT15" i="4"/>
  <c r="FU15" i="4"/>
  <c r="FV15" i="4"/>
  <c r="FX15" i="4"/>
  <c r="FY15" i="4"/>
  <c r="FZ15" i="4"/>
  <c r="GB15" i="4"/>
  <c r="GC15" i="4"/>
  <c r="GD15" i="4"/>
  <c r="GF15" i="4"/>
  <c r="GG15" i="4"/>
  <c r="GH15" i="4"/>
  <c r="GJ15" i="4"/>
  <c r="GK15" i="4"/>
  <c r="GL15" i="4"/>
  <c r="GN15" i="4"/>
  <c r="GO15" i="4"/>
  <c r="GP15" i="4"/>
  <c r="GR15" i="4"/>
  <c r="GS15" i="4"/>
  <c r="GT15" i="4"/>
  <c r="GV15" i="4"/>
  <c r="GW15" i="4"/>
  <c r="GX15" i="4"/>
  <c r="GZ15" i="4"/>
  <c r="HA15" i="4"/>
  <c r="HB15" i="4"/>
  <c r="HD15" i="4"/>
  <c r="HE15" i="4"/>
  <c r="HF15" i="4"/>
  <c r="HH15" i="4"/>
  <c r="HI15" i="4"/>
  <c r="HJ15" i="4"/>
  <c r="HL15" i="4"/>
  <c r="HM15" i="4"/>
  <c r="HN15" i="4"/>
  <c r="HP15" i="4"/>
  <c r="HQ15" i="4"/>
  <c r="HR15" i="4"/>
  <c r="HT15" i="4"/>
  <c r="HU15" i="4"/>
  <c r="HV15" i="4"/>
  <c r="HX15" i="4"/>
  <c r="HY15" i="4"/>
  <c r="HZ15" i="4"/>
  <c r="IB15" i="4"/>
  <c r="IC15" i="4"/>
  <c r="ID15" i="4"/>
  <c r="IF15" i="4"/>
  <c r="IG15" i="4"/>
  <c r="IH15" i="4"/>
  <c r="IJ15" i="4"/>
  <c r="IK15" i="4"/>
  <c r="IL15" i="4"/>
  <c r="IN15" i="4"/>
  <c r="IO15" i="4"/>
  <c r="IP15" i="4"/>
  <c r="IR15" i="4"/>
  <c r="IS15" i="4"/>
  <c r="IT15" i="4"/>
  <c r="IV15" i="4"/>
  <c r="C13" i="4"/>
  <c r="C15" i="4" s="1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DV49" i="4"/>
  <c r="DW49" i="4"/>
  <c r="DX49" i="4"/>
  <c r="DY49" i="4"/>
  <c r="DZ49" i="4"/>
  <c r="EA49" i="4"/>
  <c r="EB49" i="4"/>
  <c r="EC49" i="4"/>
  <c r="ED49" i="4"/>
  <c r="EE49" i="4"/>
  <c r="EF49" i="4"/>
  <c r="EG49" i="4"/>
  <c r="EH49" i="4"/>
  <c r="EI49" i="4"/>
  <c r="EJ49" i="4"/>
  <c r="EK49" i="4"/>
  <c r="EL49" i="4"/>
  <c r="EM49" i="4"/>
  <c r="EN49" i="4"/>
  <c r="EO49" i="4"/>
  <c r="EP49" i="4"/>
  <c r="EQ49" i="4"/>
  <c r="ER49" i="4"/>
  <c r="ES49" i="4"/>
  <c r="ET49" i="4"/>
  <c r="EU49" i="4"/>
  <c r="EV49" i="4"/>
  <c r="EW49" i="4"/>
  <c r="EX49" i="4"/>
  <c r="EY49" i="4"/>
  <c r="EZ49" i="4"/>
  <c r="FA49" i="4"/>
  <c r="FB49" i="4"/>
  <c r="FC49" i="4"/>
  <c r="FD49" i="4"/>
  <c r="FE49" i="4"/>
  <c r="FF49" i="4"/>
  <c r="FG49" i="4"/>
  <c r="FH49" i="4"/>
  <c r="FI49" i="4"/>
  <c r="FJ49" i="4"/>
  <c r="FK49" i="4"/>
  <c r="FL49" i="4"/>
  <c r="FM49" i="4"/>
  <c r="FN49" i="4"/>
  <c r="FO49" i="4"/>
  <c r="FP49" i="4"/>
  <c r="FQ49" i="4"/>
  <c r="FR49" i="4"/>
  <c r="FS49" i="4"/>
  <c r="FT49" i="4"/>
  <c r="FU49" i="4"/>
  <c r="FV49" i="4"/>
  <c r="FW49" i="4"/>
  <c r="FX49" i="4"/>
  <c r="FY49" i="4"/>
  <c r="FZ49" i="4"/>
  <c r="GA49" i="4"/>
  <c r="GB49" i="4"/>
  <c r="GC49" i="4"/>
  <c r="GD49" i="4"/>
  <c r="GE49" i="4"/>
  <c r="GF49" i="4"/>
  <c r="GG49" i="4"/>
  <c r="GH49" i="4"/>
  <c r="GI49" i="4"/>
  <c r="GJ49" i="4"/>
  <c r="GK49" i="4"/>
  <c r="GL49" i="4"/>
  <c r="GM49" i="4"/>
  <c r="GN49" i="4"/>
  <c r="GO49" i="4"/>
  <c r="GP49" i="4"/>
  <c r="GQ49" i="4"/>
  <c r="GR49" i="4"/>
  <c r="GS49" i="4"/>
  <c r="GT49" i="4"/>
  <c r="GU49" i="4"/>
  <c r="GV49" i="4"/>
  <c r="GW49" i="4"/>
  <c r="GX49" i="4"/>
  <c r="GY49" i="4"/>
  <c r="GZ49" i="4"/>
  <c r="HA49" i="4"/>
  <c r="HB49" i="4"/>
  <c r="HC49" i="4"/>
  <c r="HD49" i="4"/>
  <c r="HE49" i="4"/>
  <c r="HF49" i="4"/>
  <c r="HG49" i="4"/>
  <c r="HH49" i="4"/>
  <c r="HI49" i="4"/>
  <c r="HJ49" i="4"/>
  <c r="HK49" i="4"/>
  <c r="HL49" i="4"/>
  <c r="HM49" i="4"/>
  <c r="HN49" i="4"/>
  <c r="HO49" i="4"/>
  <c r="HP49" i="4"/>
  <c r="HQ49" i="4"/>
  <c r="HR49" i="4"/>
  <c r="HS49" i="4"/>
  <c r="HT49" i="4"/>
  <c r="HU49" i="4"/>
  <c r="HV49" i="4"/>
  <c r="HW49" i="4"/>
  <c r="HX49" i="4"/>
  <c r="HY49" i="4"/>
  <c r="HZ49" i="4"/>
  <c r="IA49" i="4"/>
  <c r="IB49" i="4"/>
  <c r="IC49" i="4"/>
  <c r="ID49" i="4"/>
  <c r="IE49" i="4"/>
  <c r="IF49" i="4"/>
  <c r="IG49" i="4"/>
  <c r="IH49" i="4"/>
  <c r="II49" i="4"/>
  <c r="IJ49" i="4"/>
  <c r="IK49" i="4"/>
  <c r="IL49" i="4"/>
  <c r="IM49" i="4"/>
  <c r="IN49" i="4"/>
  <c r="IO49" i="4"/>
  <c r="IP49" i="4"/>
  <c r="IQ49" i="4"/>
  <c r="IR49" i="4"/>
  <c r="IS49" i="4"/>
  <c r="IT49" i="4"/>
  <c r="IU49" i="4"/>
  <c r="IV49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DV57" i="4"/>
  <c r="DW57" i="4"/>
  <c r="DX57" i="4"/>
  <c r="DY57" i="4"/>
  <c r="DZ57" i="4"/>
  <c r="EA57" i="4"/>
  <c r="EB57" i="4"/>
  <c r="EC57" i="4"/>
  <c r="ED57" i="4"/>
  <c r="EE57" i="4"/>
  <c r="EF57" i="4"/>
  <c r="EG57" i="4"/>
  <c r="EH57" i="4"/>
  <c r="EI57" i="4"/>
  <c r="EJ57" i="4"/>
  <c r="EK57" i="4"/>
  <c r="EL57" i="4"/>
  <c r="EM57" i="4"/>
  <c r="EN57" i="4"/>
  <c r="EO57" i="4"/>
  <c r="EP57" i="4"/>
  <c r="EQ57" i="4"/>
  <c r="ER57" i="4"/>
  <c r="ES57" i="4"/>
  <c r="ET57" i="4"/>
  <c r="EU57" i="4"/>
  <c r="EV57" i="4"/>
  <c r="EW57" i="4"/>
  <c r="EX57" i="4"/>
  <c r="EY57" i="4"/>
  <c r="EZ57" i="4"/>
  <c r="FA57" i="4"/>
  <c r="FB57" i="4"/>
  <c r="FC57" i="4"/>
  <c r="FD57" i="4"/>
  <c r="FE57" i="4"/>
  <c r="FF57" i="4"/>
  <c r="FG57" i="4"/>
  <c r="FH57" i="4"/>
  <c r="FI57" i="4"/>
  <c r="FJ57" i="4"/>
  <c r="FK57" i="4"/>
  <c r="FL57" i="4"/>
  <c r="FM57" i="4"/>
  <c r="FN57" i="4"/>
  <c r="FO57" i="4"/>
  <c r="FP57" i="4"/>
  <c r="FQ57" i="4"/>
  <c r="FR57" i="4"/>
  <c r="FS57" i="4"/>
  <c r="FT57" i="4"/>
  <c r="FU57" i="4"/>
  <c r="FV57" i="4"/>
  <c r="FW57" i="4"/>
  <c r="FX57" i="4"/>
  <c r="FY57" i="4"/>
  <c r="FZ57" i="4"/>
  <c r="GA57" i="4"/>
  <c r="GB57" i="4"/>
  <c r="GC57" i="4"/>
  <c r="GD57" i="4"/>
  <c r="GE57" i="4"/>
  <c r="GF57" i="4"/>
  <c r="GG57" i="4"/>
  <c r="GH57" i="4"/>
  <c r="GI57" i="4"/>
  <c r="GJ57" i="4"/>
  <c r="GK57" i="4"/>
  <c r="GL57" i="4"/>
  <c r="GM57" i="4"/>
  <c r="GN57" i="4"/>
  <c r="GO57" i="4"/>
  <c r="GP57" i="4"/>
  <c r="GQ57" i="4"/>
  <c r="GR57" i="4"/>
  <c r="GS57" i="4"/>
  <c r="GT57" i="4"/>
  <c r="GU57" i="4"/>
  <c r="GV57" i="4"/>
  <c r="GW57" i="4"/>
  <c r="GX57" i="4"/>
  <c r="GY57" i="4"/>
  <c r="GZ57" i="4"/>
  <c r="HA57" i="4"/>
  <c r="HB57" i="4"/>
  <c r="HC57" i="4"/>
  <c r="HD57" i="4"/>
  <c r="HE57" i="4"/>
  <c r="HF57" i="4"/>
  <c r="HG57" i="4"/>
  <c r="HH57" i="4"/>
  <c r="HI57" i="4"/>
  <c r="HJ57" i="4"/>
  <c r="HK57" i="4"/>
  <c r="HL57" i="4"/>
  <c r="HM57" i="4"/>
  <c r="HN57" i="4"/>
  <c r="HO57" i="4"/>
  <c r="HP57" i="4"/>
  <c r="HQ57" i="4"/>
  <c r="HR57" i="4"/>
  <c r="HS57" i="4"/>
  <c r="HT57" i="4"/>
  <c r="HU57" i="4"/>
  <c r="HV57" i="4"/>
  <c r="HW57" i="4"/>
  <c r="HX57" i="4"/>
  <c r="HY57" i="4"/>
  <c r="HZ57" i="4"/>
  <c r="IA57" i="4"/>
  <c r="IB57" i="4"/>
  <c r="IC57" i="4"/>
  <c r="ID57" i="4"/>
  <c r="IE57" i="4"/>
  <c r="IF57" i="4"/>
  <c r="IG57" i="4"/>
  <c r="IH57" i="4"/>
  <c r="II57" i="4"/>
  <c r="IJ57" i="4"/>
  <c r="IK57" i="4"/>
  <c r="IL57" i="4"/>
  <c r="IM57" i="4"/>
  <c r="IN57" i="4"/>
  <c r="IO57" i="4"/>
  <c r="IP57" i="4"/>
  <c r="IQ57" i="4"/>
  <c r="IR57" i="4"/>
  <c r="IS57" i="4"/>
  <c r="IT57" i="4"/>
  <c r="IU57" i="4"/>
  <c r="IV57" i="4"/>
  <c r="C51" i="4" l="1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DI51" i="4"/>
  <c r="DJ51" i="4"/>
  <c r="DK51" i="4"/>
  <c r="DL51" i="4"/>
  <c r="DM51" i="4"/>
  <c r="DN51" i="4"/>
  <c r="DO51" i="4"/>
  <c r="DP51" i="4"/>
  <c r="DQ51" i="4"/>
  <c r="DR51" i="4"/>
  <c r="DS51" i="4"/>
  <c r="DT51" i="4"/>
  <c r="DU51" i="4"/>
  <c r="DV51" i="4"/>
  <c r="DW51" i="4"/>
  <c r="DX51" i="4"/>
  <c r="DY51" i="4"/>
  <c r="DZ51" i="4"/>
  <c r="EA51" i="4"/>
  <c r="EB51" i="4"/>
  <c r="EC51" i="4"/>
  <c r="ED51" i="4"/>
  <c r="EE51" i="4"/>
  <c r="EF51" i="4"/>
  <c r="EG51" i="4"/>
  <c r="EH51" i="4"/>
  <c r="EI51" i="4"/>
  <c r="EJ51" i="4"/>
  <c r="EK51" i="4"/>
  <c r="EL51" i="4"/>
  <c r="EM51" i="4"/>
  <c r="EN51" i="4"/>
  <c r="EO51" i="4"/>
  <c r="EP51" i="4"/>
  <c r="EQ51" i="4"/>
  <c r="ER51" i="4"/>
  <c r="ES51" i="4"/>
  <c r="ET51" i="4"/>
  <c r="EU51" i="4"/>
  <c r="EV51" i="4"/>
  <c r="EW51" i="4"/>
  <c r="EX51" i="4"/>
  <c r="EY51" i="4"/>
  <c r="EZ51" i="4"/>
  <c r="FA51" i="4"/>
  <c r="FB51" i="4"/>
  <c r="FC51" i="4"/>
  <c r="FD51" i="4"/>
  <c r="FE51" i="4"/>
  <c r="FF51" i="4"/>
  <c r="FG51" i="4"/>
  <c r="FH51" i="4"/>
  <c r="FI51" i="4"/>
  <c r="FJ51" i="4"/>
  <c r="FK51" i="4"/>
  <c r="FL51" i="4"/>
  <c r="FM51" i="4"/>
  <c r="FN51" i="4"/>
  <c r="FO51" i="4"/>
  <c r="FP51" i="4"/>
  <c r="FQ51" i="4"/>
  <c r="FR51" i="4"/>
  <c r="FS51" i="4"/>
  <c r="FT51" i="4"/>
  <c r="FU51" i="4"/>
  <c r="FV51" i="4"/>
  <c r="FW51" i="4"/>
  <c r="FX51" i="4"/>
  <c r="FY51" i="4"/>
  <c r="FZ51" i="4"/>
  <c r="GA51" i="4"/>
  <c r="GB51" i="4"/>
  <c r="GC51" i="4"/>
  <c r="GD51" i="4"/>
  <c r="GE51" i="4"/>
  <c r="GF51" i="4"/>
  <c r="GG51" i="4"/>
  <c r="GH51" i="4"/>
  <c r="GI51" i="4"/>
  <c r="GJ51" i="4"/>
  <c r="GK51" i="4"/>
  <c r="GL51" i="4"/>
  <c r="GM51" i="4"/>
  <c r="GN51" i="4"/>
  <c r="GO51" i="4"/>
  <c r="GP51" i="4"/>
  <c r="GQ51" i="4"/>
  <c r="GR51" i="4"/>
  <c r="GS51" i="4"/>
  <c r="GT51" i="4"/>
  <c r="GU51" i="4"/>
  <c r="GV51" i="4"/>
  <c r="GW51" i="4"/>
  <c r="GX51" i="4"/>
  <c r="GY51" i="4"/>
  <c r="GZ51" i="4"/>
  <c r="HA51" i="4"/>
  <c r="HB51" i="4"/>
  <c r="HC51" i="4"/>
  <c r="HD51" i="4"/>
  <c r="HE51" i="4"/>
  <c r="HF51" i="4"/>
  <c r="HG51" i="4"/>
  <c r="HH51" i="4"/>
  <c r="HI51" i="4"/>
  <c r="HJ51" i="4"/>
  <c r="HK51" i="4"/>
  <c r="HL51" i="4"/>
  <c r="HM51" i="4"/>
  <c r="HN51" i="4"/>
  <c r="HO51" i="4"/>
  <c r="HP51" i="4"/>
  <c r="HQ51" i="4"/>
  <c r="HR51" i="4"/>
  <c r="HS51" i="4"/>
  <c r="HT51" i="4"/>
  <c r="HU51" i="4"/>
  <c r="HV51" i="4"/>
  <c r="HW51" i="4"/>
  <c r="HX51" i="4"/>
  <c r="HY51" i="4"/>
  <c r="HZ51" i="4"/>
  <c r="IA51" i="4"/>
  <c r="IB51" i="4"/>
  <c r="IC51" i="4"/>
  <c r="ID51" i="4"/>
  <c r="IE51" i="4"/>
  <c r="IF51" i="4"/>
  <c r="IG51" i="4"/>
  <c r="IH51" i="4"/>
  <c r="II51" i="4"/>
  <c r="IJ51" i="4"/>
  <c r="IK51" i="4"/>
  <c r="IL51" i="4"/>
  <c r="IM51" i="4"/>
  <c r="IN51" i="4"/>
  <c r="IO51" i="4"/>
  <c r="IP51" i="4"/>
  <c r="IQ51" i="4"/>
  <c r="IR51" i="4"/>
  <c r="IS51" i="4"/>
  <c r="IT51" i="4"/>
  <c r="IU51" i="4"/>
  <c r="IV51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DV54" i="4"/>
  <c r="DW54" i="4"/>
  <c r="DX54" i="4"/>
  <c r="DY54" i="4"/>
  <c r="DZ54" i="4"/>
  <c r="EA54" i="4"/>
  <c r="EB54" i="4"/>
  <c r="EC54" i="4"/>
  <c r="ED54" i="4"/>
  <c r="EE54" i="4"/>
  <c r="EF54" i="4"/>
  <c r="EG54" i="4"/>
  <c r="EH54" i="4"/>
  <c r="EI54" i="4"/>
  <c r="EJ54" i="4"/>
  <c r="EK54" i="4"/>
  <c r="EL54" i="4"/>
  <c r="EM54" i="4"/>
  <c r="EN54" i="4"/>
  <c r="EO54" i="4"/>
  <c r="EP54" i="4"/>
  <c r="EQ54" i="4"/>
  <c r="ER54" i="4"/>
  <c r="ES54" i="4"/>
  <c r="ET54" i="4"/>
  <c r="EU54" i="4"/>
  <c r="EV54" i="4"/>
  <c r="EW54" i="4"/>
  <c r="EX54" i="4"/>
  <c r="EY54" i="4"/>
  <c r="EZ54" i="4"/>
  <c r="FA54" i="4"/>
  <c r="FB54" i="4"/>
  <c r="FC54" i="4"/>
  <c r="FD54" i="4"/>
  <c r="FE54" i="4"/>
  <c r="FF54" i="4"/>
  <c r="FG54" i="4"/>
  <c r="FH54" i="4"/>
  <c r="FI54" i="4"/>
  <c r="FJ54" i="4"/>
  <c r="FK54" i="4"/>
  <c r="FL54" i="4"/>
  <c r="FM54" i="4"/>
  <c r="FN54" i="4"/>
  <c r="FO54" i="4"/>
  <c r="FP54" i="4"/>
  <c r="FQ54" i="4"/>
  <c r="FR54" i="4"/>
  <c r="FS54" i="4"/>
  <c r="FT54" i="4"/>
  <c r="FU54" i="4"/>
  <c r="FV54" i="4"/>
  <c r="FW54" i="4"/>
  <c r="FX54" i="4"/>
  <c r="FY54" i="4"/>
  <c r="FZ54" i="4"/>
  <c r="GA54" i="4"/>
  <c r="GB54" i="4"/>
  <c r="GC54" i="4"/>
  <c r="GD54" i="4"/>
  <c r="GE54" i="4"/>
  <c r="GF54" i="4"/>
  <c r="GG54" i="4"/>
  <c r="GH54" i="4"/>
  <c r="GI54" i="4"/>
  <c r="GJ54" i="4"/>
  <c r="GK54" i="4"/>
  <c r="GL54" i="4"/>
  <c r="GM54" i="4"/>
  <c r="GN54" i="4"/>
  <c r="GO54" i="4"/>
  <c r="GP54" i="4"/>
  <c r="GQ54" i="4"/>
  <c r="GR54" i="4"/>
  <c r="GS54" i="4"/>
  <c r="GT54" i="4"/>
  <c r="GU54" i="4"/>
  <c r="GV54" i="4"/>
  <c r="GW54" i="4"/>
  <c r="GX54" i="4"/>
  <c r="GY54" i="4"/>
  <c r="GZ54" i="4"/>
  <c r="HA54" i="4"/>
  <c r="HB54" i="4"/>
  <c r="HC54" i="4"/>
  <c r="HD54" i="4"/>
  <c r="HE54" i="4"/>
  <c r="HF54" i="4"/>
  <c r="HG54" i="4"/>
  <c r="HH54" i="4"/>
  <c r="HI54" i="4"/>
  <c r="HJ54" i="4"/>
  <c r="HK54" i="4"/>
  <c r="HL54" i="4"/>
  <c r="HM54" i="4"/>
  <c r="HN54" i="4"/>
  <c r="HO54" i="4"/>
  <c r="HP54" i="4"/>
  <c r="HQ54" i="4"/>
  <c r="HR54" i="4"/>
  <c r="HS54" i="4"/>
  <c r="HT54" i="4"/>
  <c r="HU54" i="4"/>
  <c r="HV54" i="4"/>
  <c r="HW54" i="4"/>
  <c r="HX54" i="4"/>
  <c r="HY54" i="4"/>
  <c r="HZ54" i="4"/>
  <c r="IA54" i="4"/>
  <c r="IB54" i="4"/>
  <c r="IC54" i="4"/>
  <c r="ID54" i="4"/>
  <c r="IE54" i="4"/>
  <c r="IF54" i="4"/>
  <c r="IG54" i="4"/>
  <c r="IH54" i="4"/>
  <c r="II54" i="4"/>
  <c r="IJ54" i="4"/>
  <c r="IK54" i="4"/>
  <c r="IL54" i="4"/>
  <c r="IM54" i="4"/>
  <c r="IN54" i="4"/>
  <c r="IO54" i="4"/>
  <c r="IP54" i="4"/>
  <c r="IQ54" i="4"/>
  <c r="IR54" i="4"/>
  <c r="IS54" i="4"/>
  <c r="IT54" i="4"/>
  <c r="IU54" i="4"/>
  <c r="IV54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DV42" i="4"/>
  <c r="DW42" i="4"/>
  <c r="DX42" i="4"/>
  <c r="DY42" i="4"/>
  <c r="DZ42" i="4"/>
  <c r="EA42" i="4"/>
  <c r="EB42" i="4"/>
  <c r="EC42" i="4"/>
  <c r="ED42" i="4"/>
  <c r="EE42" i="4"/>
  <c r="EF42" i="4"/>
  <c r="EG42" i="4"/>
  <c r="EH42" i="4"/>
  <c r="EI42" i="4"/>
  <c r="EJ42" i="4"/>
  <c r="EK42" i="4"/>
  <c r="EL42" i="4"/>
  <c r="EM42" i="4"/>
  <c r="EN42" i="4"/>
  <c r="EO42" i="4"/>
  <c r="EP42" i="4"/>
  <c r="EQ42" i="4"/>
  <c r="ER42" i="4"/>
  <c r="ES42" i="4"/>
  <c r="ET42" i="4"/>
  <c r="EU42" i="4"/>
  <c r="EV42" i="4"/>
  <c r="EW42" i="4"/>
  <c r="EX42" i="4"/>
  <c r="EY42" i="4"/>
  <c r="EZ42" i="4"/>
  <c r="FA42" i="4"/>
  <c r="FB42" i="4"/>
  <c r="FC42" i="4"/>
  <c r="FD42" i="4"/>
  <c r="FE42" i="4"/>
  <c r="FF42" i="4"/>
  <c r="FG42" i="4"/>
  <c r="FH42" i="4"/>
  <c r="FI42" i="4"/>
  <c r="FJ42" i="4"/>
  <c r="FK42" i="4"/>
  <c r="FL42" i="4"/>
  <c r="FM42" i="4"/>
  <c r="FN42" i="4"/>
  <c r="FO42" i="4"/>
  <c r="FP42" i="4"/>
  <c r="FQ42" i="4"/>
  <c r="FR42" i="4"/>
  <c r="FS42" i="4"/>
  <c r="FT42" i="4"/>
  <c r="FU42" i="4"/>
  <c r="FV42" i="4"/>
  <c r="FW42" i="4"/>
  <c r="FX42" i="4"/>
  <c r="FY42" i="4"/>
  <c r="FZ42" i="4"/>
  <c r="GA42" i="4"/>
  <c r="GB42" i="4"/>
  <c r="GC42" i="4"/>
  <c r="GD42" i="4"/>
  <c r="GE42" i="4"/>
  <c r="GF42" i="4"/>
  <c r="GG42" i="4"/>
  <c r="GH42" i="4"/>
  <c r="GI42" i="4"/>
  <c r="GJ42" i="4"/>
  <c r="GK42" i="4"/>
  <c r="GL42" i="4"/>
  <c r="GM42" i="4"/>
  <c r="GN42" i="4"/>
  <c r="GO42" i="4"/>
  <c r="GP42" i="4"/>
  <c r="GQ42" i="4"/>
  <c r="GR42" i="4"/>
  <c r="GS42" i="4"/>
  <c r="GT42" i="4"/>
  <c r="GU42" i="4"/>
  <c r="GV42" i="4"/>
  <c r="GW42" i="4"/>
  <c r="GX42" i="4"/>
  <c r="GY42" i="4"/>
  <c r="GZ42" i="4"/>
  <c r="HA42" i="4"/>
  <c r="HB42" i="4"/>
  <c r="HC42" i="4"/>
  <c r="HD42" i="4"/>
  <c r="HE42" i="4"/>
  <c r="HF42" i="4"/>
  <c r="HG42" i="4"/>
  <c r="HH42" i="4"/>
  <c r="HI42" i="4"/>
  <c r="HJ42" i="4"/>
  <c r="HK42" i="4"/>
  <c r="HL42" i="4"/>
  <c r="HM42" i="4"/>
  <c r="HN42" i="4"/>
  <c r="HO42" i="4"/>
  <c r="HP42" i="4"/>
  <c r="HQ42" i="4"/>
  <c r="HR42" i="4"/>
  <c r="HS42" i="4"/>
  <c r="HT42" i="4"/>
  <c r="HU42" i="4"/>
  <c r="HV42" i="4"/>
  <c r="HW42" i="4"/>
  <c r="HX42" i="4"/>
  <c r="HY42" i="4"/>
  <c r="HZ42" i="4"/>
  <c r="IA42" i="4"/>
  <c r="IB42" i="4"/>
  <c r="IC42" i="4"/>
  <c r="ID42" i="4"/>
  <c r="IE42" i="4"/>
  <c r="IF42" i="4"/>
  <c r="IG42" i="4"/>
  <c r="IH42" i="4"/>
  <c r="II42" i="4"/>
  <c r="IJ42" i="4"/>
  <c r="IK42" i="4"/>
  <c r="IL42" i="4"/>
  <c r="IM42" i="4"/>
  <c r="IN42" i="4"/>
  <c r="IO42" i="4"/>
  <c r="IP42" i="4"/>
  <c r="IQ42" i="4"/>
  <c r="IR42" i="4"/>
  <c r="IS42" i="4"/>
  <c r="IT42" i="4"/>
  <c r="IU42" i="4"/>
  <c r="IV42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DY34" i="4"/>
  <c r="DZ34" i="4"/>
  <c r="EA34" i="4"/>
  <c r="EB34" i="4"/>
  <c r="EC34" i="4"/>
  <c r="ED34" i="4"/>
  <c r="EE34" i="4"/>
  <c r="EF34" i="4"/>
  <c r="EG34" i="4"/>
  <c r="EH34" i="4"/>
  <c r="EI34" i="4"/>
  <c r="EJ34" i="4"/>
  <c r="EK34" i="4"/>
  <c r="EL34" i="4"/>
  <c r="EM34" i="4"/>
  <c r="EN34" i="4"/>
  <c r="EO34" i="4"/>
  <c r="EP34" i="4"/>
  <c r="EQ34" i="4"/>
  <c r="ER34" i="4"/>
  <c r="ES34" i="4"/>
  <c r="ET34" i="4"/>
  <c r="EU34" i="4"/>
  <c r="EV34" i="4"/>
  <c r="EW34" i="4"/>
  <c r="EX34" i="4"/>
  <c r="EY34" i="4"/>
  <c r="EZ34" i="4"/>
  <c r="FA34" i="4"/>
  <c r="FB34" i="4"/>
  <c r="FC34" i="4"/>
  <c r="FD34" i="4"/>
  <c r="FE34" i="4"/>
  <c r="FF34" i="4"/>
  <c r="FG34" i="4"/>
  <c r="FH34" i="4"/>
  <c r="FI34" i="4"/>
  <c r="FJ34" i="4"/>
  <c r="FK34" i="4"/>
  <c r="FL34" i="4"/>
  <c r="FM34" i="4"/>
  <c r="FN34" i="4"/>
  <c r="FO34" i="4"/>
  <c r="FP34" i="4"/>
  <c r="FQ34" i="4"/>
  <c r="FR34" i="4"/>
  <c r="FS34" i="4"/>
  <c r="FT34" i="4"/>
  <c r="FU34" i="4"/>
  <c r="FV34" i="4"/>
  <c r="FW34" i="4"/>
  <c r="FX34" i="4"/>
  <c r="FY34" i="4"/>
  <c r="FZ34" i="4"/>
  <c r="GA34" i="4"/>
  <c r="GB34" i="4"/>
  <c r="GC34" i="4"/>
  <c r="GD34" i="4"/>
  <c r="GE34" i="4"/>
  <c r="GF34" i="4"/>
  <c r="GG34" i="4"/>
  <c r="GH34" i="4"/>
  <c r="GI34" i="4"/>
  <c r="GJ34" i="4"/>
  <c r="GK34" i="4"/>
  <c r="GL34" i="4"/>
  <c r="GM34" i="4"/>
  <c r="GN34" i="4"/>
  <c r="GO34" i="4"/>
  <c r="GP34" i="4"/>
  <c r="GQ34" i="4"/>
  <c r="GR34" i="4"/>
  <c r="GS34" i="4"/>
  <c r="GT34" i="4"/>
  <c r="GU34" i="4"/>
  <c r="GV34" i="4"/>
  <c r="GW34" i="4"/>
  <c r="GX34" i="4"/>
  <c r="GY34" i="4"/>
  <c r="GZ34" i="4"/>
  <c r="HA34" i="4"/>
  <c r="HB34" i="4"/>
  <c r="HC34" i="4"/>
  <c r="HD34" i="4"/>
  <c r="HE34" i="4"/>
  <c r="HF34" i="4"/>
  <c r="HG34" i="4"/>
  <c r="HH34" i="4"/>
  <c r="HI34" i="4"/>
  <c r="HJ34" i="4"/>
  <c r="HK34" i="4"/>
  <c r="HL34" i="4"/>
  <c r="HM34" i="4"/>
  <c r="HN34" i="4"/>
  <c r="HO34" i="4"/>
  <c r="HP34" i="4"/>
  <c r="HQ34" i="4"/>
  <c r="HR34" i="4"/>
  <c r="HS34" i="4"/>
  <c r="HT34" i="4"/>
  <c r="HU34" i="4"/>
  <c r="HV34" i="4"/>
  <c r="HW34" i="4"/>
  <c r="HX34" i="4"/>
  <c r="HY34" i="4"/>
  <c r="HZ34" i="4"/>
  <c r="IA34" i="4"/>
  <c r="IB34" i="4"/>
  <c r="IC34" i="4"/>
  <c r="ID34" i="4"/>
  <c r="IE34" i="4"/>
  <c r="IF34" i="4"/>
  <c r="IG34" i="4"/>
  <c r="IH34" i="4"/>
  <c r="II34" i="4"/>
  <c r="IJ34" i="4"/>
  <c r="IK34" i="4"/>
  <c r="IL34" i="4"/>
  <c r="IM34" i="4"/>
  <c r="IN34" i="4"/>
  <c r="IO34" i="4"/>
  <c r="IP34" i="4"/>
  <c r="IQ34" i="4"/>
  <c r="IR34" i="4"/>
  <c r="IS34" i="4"/>
  <c r="IT34" i="4"/>
  <c r="IU34" i="4"/>
  <c r="IV3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DV25" i="4"/>
  <c r="DW25" i="4"/>
  <c r="DX25" i="4"/>
  <c r="DY25" i="4"/>
  <c r="DZ25" i="4"/>
  <c r="EA25" i="4"/>
  <c r="EB25" i="4"/>
  <c r="EC25" i="4"/>
  <c r="ED25" i="4"/>
  <c r="EE25" i="4"/>
  <c r="EF25" i="4"/>
  <c r="EG25" i="4"/>
  <c r="EH25" i="4"/>
  <c r="EI25" i="4"/>
  <c r="EJ25" i="4"/>
  <c r="EK25" i="4"/>
  <c r="EL25" i="4"/>
  <c r="EM25" i="4"/>
  <c r="EN25" i="4"/>
  <c r="EO25" i="4"/>
  <c r="EP25" i="4"/>
  <c r="EQ25" i="4"/>
  <c r="ER25" i="4"/>
  <c r="ES25" i="4"/>
  <c r="ET25" i="4"/>
  <c r="EU25" i="4"/>
  <c r="EV25" i="4"/>
  <c r="EW25" i="4"/>
  <c r="EX25" i="4"/>
  <c r="EY25" i="4"/>
  <c r="EZ25" i="4"/>
  <c r="FA25" i="4"/>
  <c r="FB25" i="4"/>
  <c r="FC25" i="4"/>
  <c r="FD25" i="4"/>
  <c r="FE25" i="4"/>
  <c r="FF25" i="4"/>
  <c r="FG25" i="4"/>
  <c r="FH25" i="4"/>
  <c r="FI25" i="4"/>
  <c r="FJ25" i="4"/>
  <c r="FK25" i="4"/>
  <c r="FL25" i="4"/>
  <c r="FM25" i="4"/>
  <c r="FN25" i="4"/>
  <c r="FO25" i="4"/>
  <c r="FP25" i="4"/>
  <c r="FQ25" i="4"/>
  <c r="FR25" i="4"/>
  <c r="FS25" i="4"/>
  <c r="FT25" i="4"/>
  <c r="FU25" i="4"/>
  <c r="FV25" i="4"/>
  <c r="FW25" i="4"/>
  <c r="FX25" i="4"/>
  <c r="FY25" i="4"/>
  <c r="FZ25" i="4"/>
  <c r="GA25" i="4"/>
  <c r="GB25" i="4"/>
  <c r="GC25" i="4"/>
  <c r="GD25" i="4"/>
  <c r="GE25" i="4"/>
  <c r="GF25" i="4"/>
  <c r="GG25" i="4"/>
  <c r="GH25" i="4"/>
  <c r="GI25" i="4"/>
  <c r="GJ25" i="4"/>
  <c r="GK25" i="4"/>
  <c r="GL25" i="4"/>
  <c r="GM25" i="4"/>
  <c r="GN25" i="4"/>
  <c r="GO25" i="4"/>
  <c r="GP25" i="4"/>
  <c r="GQ25" i="4"/>
  <c r="GR25" i="4"/>
  <c r="GS25" i="4"/>
  <c r="GT25" i="4"/>
  <c r="GU25" i="4"/>
  <c r="GV25" i="4"/>
  <c r="GW25" i="4"/>
  <c r="GX25" i="4"/>
  <c r="GY25" i="4"/>
  <c r="GZ25" i="4"/>
  <c r="HA25" i="4"/>
  <c r="HB25" i="4"/>
  <c r="HC25" i="4"/>
  <c r="HD25" i="4"/>
  <c r="HE25" i="4"/>
  <c r="HF25" i="4"/>
  <c r="HG25" i="4"/>
  <c r="HH25" i="4"/>
  <c r="HI25" i="4"/>
  <c r="HJ25" i="4"/>
  <c r="HK25" i="4"/>
  <c r="HL25" i="4"/>
  <c r="HM25" i="4"/>
  <c r="HN25" i="4"/>
  <c r="HO25" i="4"/>
  <c r="HP25" i="4"/>
  <c r="HQ25" i="4"/>
  <c r="HR25" i="4"/>
  <c r="HS25" i="4"/>
  <c r="HT25" i="4"/>
  <c r="HU25" i="4"/>
  <c r="HV25" i="4"/>
  <c r="HW25" i="4"/>
  <c r="HX25" i="4"/>
  <c r="HY25" i="4"/>
  <c r="HZ25" i="4"/>
  <c r="IA25" i="4"/>
  <c r="IB25" i="4"/>
  <c r="IC25" i="4"/>
  <c r="ID25" i="4"/>
  <c r="IE25" i="4"/>
  <c r="IF25" i="4"/>
  <c r="IG25" i="4"/>
  <c r="IH25" i="4"/>
  <c r="II25" i="4"/>
  <c r="IJ25" i="4"/>
  <c r="IK25" i="4"/>
  <c r="IL25" i="4"/>
  <c r="IM25" i="4"/>
  <c r="IN25" i="4"/>
  <c r="IO25" i="4"/>
  <c r="IP25" i="4"/>
  <c r="IQ25" i="4"/>
  <c r="IR25" i="4"/>
  <c r="IS25" i="4"/>
  <c r="IT25" i="4"/>
  <c r="IU25" i="4"/>
  <c r="IV25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DV58" i="4"/>
  <c r="DW58" i="4"/>
  <c r="DX58" i="4"/>
  <c r="DY58" i="4"/>
  <c r="DZ58" i="4"/>
  <c r="EA58" i="4"/>
  <c r="EB58" i="4"/>
  <c r="EC58" i="4"/>
  <c r="ED58" i="4"/>
  <c r="EE58" i="4"/>
  <c r="EF58" i="4"/>
  <c r="EG58" i="4"/>
  <c r="EH58" i="4"/>
  <c r="EI58" i="4"/>
  <c r="EJ58" i="4"/>
  <c r="EK58" i="4"/>
  <c r="EL58" i="4"/>
  <c r="EM58" i="4"/>
  <c r="EN58" i="4"/>
  <c r="EO58" i="4"/>
  <c r="EP58" i="4"/>
  <c r="EQ58" i="4"/>
  <c r="ER58" i="4"/>
  <c r="ES58" i="4"/>
  <c r="ET58" i="4"/>
  <c r="EU58" i="4"/>
  <c r="EV58" i="4"/>
  <c r="EW58" i="4"/>
  <c r="EX58" i="4"/>
  <c r="EY58" i="4"/>
  <c r="EZ58" i="4"/>
  <c r="FA58" i="4"/>
  <c r="FB58" i="4"/>
  <c r="FC58" i="4"/>
  <c r="FD58" i="4"/>
  <c r="FE58" i="4"/>
  <c r="FF58" i="4"/>
  <c r="FG58" i="4"/>
  <c r="FH58" i="4"/>
  <c r="FI58" i="4"/>
  <c r="FJ58" i="4"/>
  <c r="FK58" i="4"/>
  <c r="FL58" i="4"/>
  <c r="FM58" i="4"/>
  <c r="FN58" i="4"/>
  <c r="FO58" i="4"/>
  <c r="FP58" i="4"/>
  <c r="FQ58" i="4"/>
  <c r="FR58" i="4"/>
  <c r="FS58" i="4"/>
  <c r="FT58" i="4"/>
  <c r="FU58" i="4"/>
  <c r="FV58" i="4"/>
  <c r="FW58" i="4"/>
  <c r="FX58" i="4"/>
  <c r="FY58" i="4"/>
  <c r="FZ58" i="4"/>
  <c r="GA58" i="4"/>
  <c r="GB58" i="4"/>
  <c r="GC58" i="4"/>
  <c r="GD58" i="4"/>
  <c r="GE58" i="4"/>
  <c r="GF58" i="4"/>
  <c r="GG58" i="4"/>
  <c r="GH58" i="4"/>
  <c r="GI58" i="4"/>
  <c r="GJ58" i="4"/>
  <c r="GK58" i="4"/>
  <c r="GL58" i="4"/>
  <c r="GM58" i="4"/>
  <c r="GN58" i="4"/>
  <c r="GO58" i="4"/>
  <c r="GP58" i="4"/>
  <c r="GQ58" i="4"/>
  <c r="GR58" i="4"/>
  <c r="GS58" i="4"/>
  <c r="GT58" i="4"/>
  <c r="GU58" i="4"/>
  <c r="GV58" i="4"/>
  <c r="GW58" i="4"/>
  <c r="GX58" i="4"/>
  <c r="GY58" i="4"/>
  <c r="GZ58" i="4"/>
  <c r="HA58" i="4"/>
  <c r="HB58" i="4"/>
  <c r="HC58" i="4"/>
  <c r="HD58" i="4"/>
  <c r="HE58" i="4"/>
  <c r="HF58" i="4"/>
  <c r="HG58" i="4"/>
  <c r="HH58" i="4"/>
  <c r="HI58" i="4"/>
  <c r="HJ58" i="4"/>
  <c r="HK58" i="4"/>
  <c r="HL58" i="4"/>
  <c r="HM58" i="4"/>
  <c r="HN58" i="4"/>
  <c r="HO58" i="4"/>
  <c r="HP58" i="4"/>
  <c r="HQ58" i="4"/>
  <c r="HR58" i="4"/>
  <c r="HS58" i="4"/>
  <c r="HT58" i="4"/>
  <c r="HU58" i="4"/>
  <c r="HV58" i="4"/>
  <c r="HW58" i="4"/>
  <c r="HX58" i="4"/>
  <c r="HY58" i="4"/>
  <c r="HZ58" i="4"/>
  <c r="IA58" i="4"/>
  <c r="IB58" i="4"/>
  <c r="IC58" i="4"/>
  <c r="ID58" i="4"/>
  <c r="IE58" i="4"/>
  <c r="IF58" i="4"/>
  <c r="IG58" i="4"/>
  <c r="IH58" i="4"/>
  <c r="II58" i="4"/>
  <c r="IJ58" i="4"/>
  <c r="IK58" i="4"/>
  <c r="IL58" i="4"/>
  <c r="IM58" i="4"/>
  <c r="IN58" i="4"/>
  <c r="IO58" i="4"/>
  <c r="IP58" i="4"/>
  <c r="IQ58" i="4"/>
  <c r="IR58" i="4"/>
  <c r="IS58" i="4"/>
  <c r="IT58" i="4"/>
  <c r="IU58" i="4"/>
  <c r="IV58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DI56" i="4"/>
  <c r="DJ56" i="4"/>
  <c r="DK56" i="4"/>
  <c r="DL56" i="4"/>
  <c r="DM56" i="4"/>
  <c r="DN56" i="4"/>
  <c r="DO56" i="4"/>
  <c r="DP56" i="4"/>
  <c r="DQ56" i="4"/>
  <c r="DR56" i="4"/>
  <c r="DS56" i="4"/>
  <c r="DT56" i="4"/>
  <c r="DU56" i="4"/>
  <c r="DV56" i="4"/>
  <c r="DW56" i="4"/>
  <c r="DX56" i="4"/>
  <c r="DY56" i="4"/>
  <c r="DZ56" i="4"/>
  <c r="EA56" i="4"/>
  <c r="EB56" i="4"/>
  <c r="EC56" i="4"/>
  <c r="ED56" i="4"/>
  <c r="EE56" i="4"/>
  <c r="EF56" i="4"/>
  <c r="EG56" i="4"/>
  <c r="EH56" i="4"/>
  <c r="EI56" i="4"/>
  <c r="EJ56" i="4"/>
  <c r="EK56" i="4"/>
  <c r="EL56" i="4"/>
  <c r="EM56" i="4"/>
  <c r="EN56" i="4"/>
  <c r="EO56" i="4"/>
  <c r="EP56" i="4"/>
  <c r="EQ56" i="4"/>
  <c r="ER56" i="4"/>
  <c r="ES56" i="4"/>
  <c r="ET56" i="4"/>
  <c r="EU56" i="4"/>
  <c r="EV56" i="4"/>
  <c r="EW56" i="4"/>
  <c r="EX56" i="4"/>
  <c r="EY56" i="4"/>
  <c r="EZ56" i="4"/>
  <c r="FA56" i="4"/>
  <c r="FB56" i="4"/>
  <c r="FC56" i="4"/>
  <c r="FD56" i="4"/>
  <c r="FE56" i="4"/>
  <c r="FF56" i="4"/>
  <c r="FG56" i="4"/>
  <c r="FH56" i="4"/>
  <c r="FI56" i="4"/>
  <c r="FJ56" i="4"/>
  <c r="FK56" i="4"/>
  <c r="FL56" i="4"/>
  <c r="FM56" i="4"/>
  <c r="FN56" i="4"/>
  <c r="FO56" i="4"/>
  <c r="FP56" i="4"/>
  <c r="FQ56" i="4"/>
  <c r="FR56" i="4"/>
  <c r="FS56" i="4"/>
  <c r="FT56" i="4"/>
  <c r="FU56" i="4"/>
  <c r="FV56" i="4"/>
  <c r="FW56" i="4"/>
  <c r="FX56" i="4"/>
  <c r="FY56" i="4"/>
  <c r="FZ56" i="4"/>
  <c r="GA56" i="4"/>
  <c r="GB56" i="4"/>
  <c r="GC56" i="4"/>
  <c r="GD56" i="4"/>
  <c r="GE56" i="4"/>
  <c r="GF56" i="4"/>
  <c r="GG56" i="4"/>
  <c r="GH56" i="4"/>
  <c r="GI56" i="4"/>
  <c r="GJ56" i="4"/>
  <c r="GK56" i="4"/>
  <c r="GL56" i="4"/>
  <c r="GM56" i="4"/>
  <c r="GN56" i="4"/>
  <c r="GO56" i="4"/>
  <c r="GP56" i="4"/>
  <c r="GQ56" i="4"/>
  <c r="GR56" i="4"/>
  <c r="GS56" i="4"/>
  <c r="GT56" i="4"/>
  <c r="GU56" i="4"/>
  <c r="GV56" i="4"/>
  <c r="GW56" i="4"/>
  <c r="GX56" i="4"/>
  <c r="GY56" i="4"/>
  <c r="GZ56" i="4"/>
  <c r="HA56" i="4"/>
  <c r="HB56" i="4"/>
  <c r="HC56" i="4"/>
  <c r="HD56" i="4"/>
  <c r="HE56" i="4"/>
  <c r="HF56" i="4"/>
  <c r="HG56" i="4"/>
  <c r="HH56" i="4"/>
  <c r="HI56" i="4"/>
  <c r="HJ56" i="4"/>
  <c r="HK56" i="4"/>
  <c r="HL56" i="4"/>
  <c r="HM56" i="4"/>
  <c r="HN56" i="4"/>
  <c r="HO56" i="4"/>
  <c r="HP56" i="4"/>
  <c r="HQ56" i="4"/>
  <c r="HR56" i="4"/>
  <c r="HS56" i="4"/>
  <c r="HT56" i="4"/>
  <c r="HU56" i="4"/>
  <c r="HV56" i="4"/>
  <c r="HW56" i="4"/>
  <c r="HX56" i="4"/>
  <c r="HY56" i="4"/>
  <c r="HZ56" i="4"/>
  <c r="IA56" i="4"/>
  <c r="IB56" i="4"/>
  <c r="IC56" i="4"/>
  <c r="ID56" i="4"/>
  <c r="IE56" i="4"/>
  <c r="IF56" i="4"/>
  <c r="IG56" i="4"/>
  <c r="IH56" i="4"/>
  <c r="II56" i="4"/>
  <c r="IJ56" i="4"/>
  <c r="IK56" i="4"/>
  <c r="IL56" i="4"/>
  <c r="IM56" i="4"/>
  <c r="IN56" i="4"/>
  <c r="IO56" i="4"/>
  <c r="IP56" i="4"/>
  <c r="IQ56" i="4"/>
  <c r="IR56" i="4"/>
  <c r="IS56" i="4"/>
  <c r="IT56" i="4"/>
  <c r="IU56" i="4"/>
  <c r="IV56" i="4"/>
  <c r="B40" i="4" l="1"/>
  <c r="B22" i="4"/>
  <c r="B3" i="4"/>
  <c r="C4" i="4" l="1"/>
  <c r="C5" i="4" s="1"/>
  <c r="C7" i="4"/>
  <c r="C8" i="4"/>
  <c r="C9" i="4"/>
  <c r="C23" i="4"/>
  <c r="C24" i="4" s="1"/>
  <c r="C27" i="4"/>
  <c r="C32" i="4"/>
  <c r="C33" i="4"/>
  <c r="C35" i="4"/>
  <c r="C36" i="4"/>
  <c r="C37" i="4"/>
  <c r="C41" i="4"/>
  <c r="C45" i="4"/>
  <c r="C46" i="4"/>
  <c r="C50" i="4"/>
  <c r="C5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DI62" i="4"/>
  <c r="DJ62" i="4"/>
  <c r="DK62" i="4"/>
  <c r="DL62" i="4"/>
  <c r="DM62" i="4"/>
  <c r="DN62" i="4"/>
  <c r="DO62" i="4"/>
  <c r="DP62" i="4"/>
  <c r="DQ62" i="4"/>
  <c r="DR62" i="4"/>
  <c r="DS62" i="4"/>
  <c r="DT62" i="4"/>
  <c r="DU62" i="4"/>
  <c r="DV62" i="4"/>
  <c r="DW62" i="4"/>
  <c r="DX62" i="4"/>
  <c r="DY62" i="4"/>
  <c r="DZ62" i="4"/>
  <c r="EA62" i="4"/>
  <c r="EB62" i="4"/>
  <c r="EC62" i="4"/>
  <c r="ED62" i="4"/>
  <c r="EE62" i="4"/>
  <c r="EF62" i="4"/>
  <c r="EG62" i="4"/>
  <c r="EH62" i="4"/>
  <c r="EI62" i="4"/>
  <c r="EJ62" i="4"/>
  <c r="EK62" i="4"/>
  <c r="EL62" i="4"/>
  <c r="EM62" i="4"/>
  <c r="EN62" i="4"/>
  <c r="EO62" i="4"/>
  <c r="EP62" i="4"/>
  <c r="EQ62" i="4"/>
  <c r="ER62" i="4"/>
  <c r="ES62" i="4"/>
  <c r="ET62" i="4"/>
  <c r="EU62" i="4"/>
  <c r="EV62" i="4"/>
  <c r="EW62" i="4"/>
  <c r="EX62" i="4"/>
  <c r="EY62" i="4"/>
  <c r="EZ62" i="4"/>
  <c r="FA62" i="4"/>
  <c r="FB62" i="4"/>
  <c r="FC62" i="4"/>
  <c r="FD62" i="4"/>
  <c r="FE62" i="4"/>
  <c r="FF62" i="4"/>
  <c r="FG62" i="4"/>
  <c r="FH62" i="4"/>
  <c r="FI62" i="4"/>
  <c r="FJ62" i="4"/>
  <c r="FK62" i="4"/>
  <c r="FL62" i="4"/>
  <c r="FM62" i="4"/>
  <c r="FN62" i="4"/>
  <c r="FO62" i="4"/>
  <c r="FP62" i="4"/>
  <c r="FQ62" i="4"/>
  <c r="FR62" i="4"/>
  <c r="FS62" i="4"/>
  <c r="FT62" i="4"/>
  <c r="FU62" i="4"/>
  <c r="FV62" i="4"/>
  <c r="FW62" i="4"/>
  <c r="FX62" i="4"/>
  <c r="FY62" i="4"/>
  <c r="FZ62" i="4"/>
  <c r="GA62" i="4"/>
  <c r="GB62" i="4"/>
  <c r="GC62" i="4"/>
  <c r="GD62" i="4"/>
  <c r="GE62" i="4"/>
  <c r="GF62" i="4"/>
  <c r="GG62" i="4"/>
  <c r="GH62" i="4"/>
  <c r="GI62" i="4"/>
  <c r="GJ62" i="4"/>
  <c r="GK62" i="4"/>
  <c r="GL62" i="4"/>
  <c r="GM62" i="4"/>
  <c r="GN62" i="4"/>
  <c r="GO62" i="4"/>
  <c r="GP62" i="4"/>
  <c r="GQ62" i="4"/>
  <c r="GR62" i="4"/>
  <c r="GS62" i="4"/>
  <c r="GT62" i="4"/>
  <c r="GU62" i="4"/>
  <c r="GV62" i="4"/>
  <c r="GW62" i="4"/>
  <c r="GX62" i="4"/>
  <c r="GY62" i="4"/>
  <c r="GZ62" i="4"/>
  <c r="HA62" i="4"/>
  <c r="HB62" i="4"/>
  <c r="HC62" i="4"/>
  <c r="HD62" i="4"/>
  <c r="HE62" i="4"/>
  <c r="HF62" i="4"/>
  <c r="HG62" i="4"/>
  <c r="HH62" i="4"/>
  <c r="HI62" i="4"/>
  <c r="HJ62" i="4"/>
  <c r="HK62" i="4"/>
  <c r="HL62" i="4"/>
  <c r="HM62" i="4"/>
  <c r="HN62" i="4"/>
  <c r="HO62" i="4"/>
  <c r="HP62" i="4"/>
  <c r="HQ62" i="4"/>
  <c r="HR62" i="4"/>
  <c r="HS62" i="4"/>
  <c r="HT62" i="4"/>
  <c r="HU62" i="4"/>
  <c r="HV62" i="4"/>
  <c r="HW62" i="4"/>
  <c r="HX62" i="4"/>
  <c r="HY62" i="4"/>
  <c r="HZ62" i="4"/>
  <c r="IA62" i="4"/>
  <c r="IB62" i="4"/>
  <c r="IC62" i="4"/>
  <c r="ID62" i="4"/>
  <c r="IE62" i="4"/>
  <c r="IF62" i="4"/>
  <c r="IG62" i="4"/>
  <c r="IH62" i="4"/>
  <c r="II62" i="4"/>
  <c r="IJ62" i="4"/>
  <c r="IK62" i="4"/>
  <c r="IL62" i="4"/>
  <c r="IM62" i="4"/>
  <c r="IN62" i="4"/>
  <c r="IO62" i="4"/>
  <c r="IP62" i="4"/>
  <c r="IQ62" i="4"/>
  <c r="IR62" i="4"/>
  <c r="IS62" i="4"/>
  <c r="IT62" i="4"/>
  <c r="IU62" i="4"/>
  <c r="IV62" i="4"/>
  <c r="C62" i="4"/>
  <c r="C26" i="4" l="1"/>
  <c r="C10" i="4"/>
  <c r="C6" i="4"/>
  <c r="C28" i="4"/>
  <c r="A60" i="4"/>
  <c r="IS46" i="4"/>
  <c r="GG46" i="4"/>
  <c r="DU46" i="4"/>
  <c r="BI46" i="4"/>
  <c r="IL45" i="4"/>
  <c r="HV45" i="4"/>
  <c r="HF45" i="4"/>
  <c r="GP45" i="4"/>
  <c r="FZ45" i="4"/>
  <c r="FJ45" i="4"/>
  <c r="ET45" i="4"/>
  <c r="ED45" i="4"/>
  <c r="DN45" i="4"/>
  <c r="CX45" i="4"/>
  <c r="CH45" i="4"/>
  <c r="BR45" i="4"/>
  <c r="BB45" i="4"/>
  <c r="AL45" i="4"/>
  <c r="V45" i="4"/>
  <c r="F45" i="4"/>
  <c r="IV41" i="4"/>
  <c r="IU41" i="4"/>
  <c r="IU45" i="4" s="1"/>
  <c r="IT41" i="4"/>
  <c r="IS41" i="4"/>
  <c r="IR41" i="4"/>
  <c r="IQ41" i="4"/>
  <c r="IQ45" i="4" s="1"/>
  <c r="IP41" i="4"/>
  <c r="IO41" i="4"/>
  <c r="IN41" i="4"/>
  <c r="IM41" i="4"/>
  <c r="IL41" i="4"/>
  <c r="IK41" i="4"/>
  <c r="IJ41" i="4"/>
  <c r="II41" i="4"/>
  <c r="IH41" i="4"/>
  <c r="IH45" i="4" s="1"/>
  <c r="IG41" i="4"/>
  <c r="IF41" i="4"/>
  <c r="IE41" i="4"/>
  <c r="IE45" i="4" s="1"/>
  <c r="ID41" i="4"/>
  <c r="IC41" i="4"/>
  <c r="IC46" i="4" s="1"/>
  <c r="IB41" i="4"/>
  <c r="IA41" i="4"/>
  <c r="IA45" i="4" s="1"/>
  <c r="HZ41" i="4"/>
  <c r="HY41" i="4"/>
  <c r="HX41" i="4"/>
  <c r="HW41" i="4"/>
  <c r="HV41" i="4"/>
  <c r="HU41" i="4"/>
  <c r="HT41" i="4"/>
  <c r="HS41" i="4"/>
  <c r="HR41" i="4"/>
  <c r="HR45" i="4" s="1"/>
  <c r="HQ41" i="4"/>
  <c r="HP41" i="4"/>
  <c r="HO41" i="4"/>
  <c r="HO45" i="4" s="1"/>
  <c r="HN41" i="4"/>
  <c r="HM41" i="4"/>
  <c r="HM46" i="4" s="1"/>
  <c r="HL41" i="4"/>
  <c r="HK41" i="4"/>
  <c r="HK45" i="4" s="1"/>
  <c r="HJ41" i="4"/>
  <c r="HI41" i="4"/>
  <c r="HH41" i="4"/>
  <c r="HG41" i="4"/>
  <c r="HF41" i="4"/>
  <c r="HE41" i="4"/>
  <c r="HD41" i="4"/>
  <c r="HC41" i="4"/>
  <c r="HB41" i="4"/>
  <c r="HB45" i="4" s="1"/>
  <c r="HA41" i="4"/>
  <c r="GZ41" i="4"/>
  <c r="GY41" i="4"/>
  <c r="GY45" i="4" s="1"/>
  <c r="GX41" i="4"/>
  <c r="GW41" i="4"/>
  <c r="GW46" i="4" s="1"/>
  <c r="GV41" i="4"/>
  <c r="GU41" i="4"/>
  <c r="GU45" i="4" s="1"/>
  <c r="GT41" i="4"/>
  <c r="GS41" i="4"/>
  <c r="GR41" i="4"/>
  <c r="GQ41" i="4"/>
  <c r="GP41" i="4"/>
  <c r="GO41" i="4"/>
  <c r="GN41" i="4"/>
  <c r="GM41" i="4"/>
  <c r="GL41" i="4"/>
  <c r="GL45" i="4" s="1"/>
  <c r="GK41" i="4"/>
  <c r="GJ41" i="4"/>
  <c r="GI41" i="4"/>
  <c r="GI45" i="4" s="1"/>
  <c r="GH41" i="4"/>
  <c r="GG41" i="4"/>
  <c r="GF41" i="4"/>
  <c r="GE41" i="4"/>
  <c r="GE45" i="4" s="1"/>
  <c r="GD41" i="4"/>
  <c r="GC41" i="4"/>
  <c r="GB41" i="4"/>
  <c r="GA41" i="4"/>
  <c r="FZ41" i="4"/>
  <c r="FY41" i="4"/>
  <c r="FX41" i="4"/>
  <c r="FW41" i="4"/>
  <c r="FV41" i="4"/>
  <c r="FV45" i="4" s="1"/>
  <c r="FU41" i="4"/>
  <c r="FT41" i="4"/>
  <c r="FS41" i="4"/>
  <c r="FS45" i="4" s="1"/>
  <c r="FR41" i="4"/>
  <c r="FQ41" i="4"/>
  <c r="FQ46" i="4" s="1"/>
  <c r="FP41" i="4"/>
  <c r="FO41" i="4"/>
  <c r="FO45" i="4" s="1"/>
  <c r="FN41" i="4"/>
  <c r="FM41" i="4"/>
  <c r="FL41" i="4"/>
  <c r="FK41" i="4"/>
  <c r="FJ41" i="4"/>
  <c r="FI41" i="4"/>
  <c r="FH41" i="4"/>
  <c r="FG41" i="4"/>
  <c r="FF41" i="4"/>
  <c r="FF45" i="4" s="1"/>
  <c r="FE41" i="4"/>
  <c r="FD41" i="4"/>
  <c r="FC41" i="4"/>
  <c r="FC45" i="4" s="1"/>
  <c r="FB41" i="4"/>
  <c r="FA41" i="4"/>
  <c r="FA46" i="4" s="1"/>
  <c r="EZ41" i="4"/>
  <c r="EY41" i="4"/>
  <c r="EY45" i="4" s="1"/>
  <c r="EX41" i="4"/>
  <c r="EW41" i="4"/>
  <c r="EV41" i="4"/>
  <c r="EU41" i="4"/>
  <c r="ET41" i="4"/>
  <c r="ES41" i="4"/>
  <c r="ER41" i="4"/>
  <c r="EQ41" i="4"/>
  <c r="EP41" i="4"/>
  <c r="EP45" i="4" s="1"/>
  <c r="EO41" i="4"/>
  <c r="EN41" i="4"/>
  <c r="EM41" i="4"/>
  <c r="EM45" i="4" s="1"/>
  <c r="EL41" i="4"/>
  <c r="EK41" i="4"/>
  <c r="EK46" i="4" s="1"/>
  <c r="EJ41" i="4"/>
  <c r="EI41" i="4"/>
  <c r="EI45" i="4" s="1"/>
  <c r="EH41" i="4"/>
  <c r="EG41" i="4"/>
  <c r="EF41" i="4"/>
  <c r="EE41" i="4"/>
  <c r="ED41" i="4"/>
  <c r="EC41" i="4"/>
  <c r="EB41" i="4"/>
  <c r="EA41" i="4"/>
  <c r="DZ41" i="4"/>
  <c r="DZ45" i="4" s="1"/>
  <c r="DY41" i="4"/>
  <c r="DX41" i="4"/>
  <c r="DW41" i="4"/>
  <c r="DW45" i="4" s="1"/>
  <c r="DV41" i="4"/>
  <c r="DU41" i="4"/>
  <c r="DT41" i="4"/>
  <c r="DS41" i="4"/>
  <c r="DS45" i="4" s="1"/>
  <c r="DR41" i="4"/>
  <c r="DQ41" i="4"/>
  <c r="DP41" i="4"/>
  <c r="DO41" i="4"/>
  <c r="DN41" i="4"/>
  <c r="DM41" i="4"/>
  <c r="DL41" i="4"/>
  <c r="DK41" i="4"/>
  <c r="DJ41" i="4"/>
  <c r="DJ45" i="4" s="1"/>
  <c r="DI41" i="4"/>
  <c r="DH41" i="4"/>
  <c r="DG41" i="4"/>
  <c r="DG45" i="4" s="1"/>
  <c r="DF41" i="4"/>
  <c r="DE41" i="4"/>
  <c r="DE46" i="4" s="1"/>
  <c r="DD41" i="4"/>
  <c r="DC41" i="4"/>
  <c r="DC45" i="4" s="1"/>
  <c r="DB41" i="4"/>
  <c r="DA41" i="4"/>
  <c r="CZ41" i="4"/>
  <c r="CY41" i="4"/>
  <c r="CX41" i="4"/>
  <c r="CW41" i="4"/>
  <c r="CV41" i="4"/>
  <c r="CU41" i="4"/>
  <c r="CT41" i="4"/>
  <c r="CT45" i="4" s="1"/>
  <c r="CS41" i="4"/>
  <c r="CR41" i="4"/>
  <c r="CQ41" i="4"/>
  <c r="CQ45" i="4" s="1"/>
  <c r="CP41" i="4"/>
  <c r="CO41" i="4"/>
  <c r="CO46" i="4" s="1"/>
  <c r="CN41" i="4"/>
  <c r="CM41" i="4"/>
  <c r="CM45" i="4" s="1"/>
  <c r="CL41" i="4"/>
  <c r="CK41" i="4"/>
  <c r="CJ41" i="4"/>
  <c r="CI41" i="4"/>
  <c r="CH41" i="4"/>
  <c r="CG41" i="4"/>
  <c r="CF41" i="4"/>
  <c r="CE41" i="4"/>
  <c r="CD41" i="4"/>
  <c r="CD45" i="4" s="1"/>
  <c r="CC41" i="4"/>
  <c r="CB41" i="4"/>
  <c r="CA41" i="4"/>
  <c r="CA45" i="4" s="1"/>
  <c r="BZ41" i="4"/>
  <c r="BY41" i="4"/>
  <c r="BY46" i="4" s="1"/>
  <c r="BX41" i="4"/>
  <c r="BW41" i="4"/>
  <c r="BW45" i="4" s="1"/>
  <c r="BV41" i="4"/>
  <c r="BU41" i="4"/>
  <c r="BT41" i="4"/>
  <c r="BS41" i="4"/>
  <c r="BR41" i="4"/>
  <c r="BQ41" i="4"/>
  <c r="BP41" i="4"/>
  <c r="BO41" i="4"/>
  <c r="BN41" i="4"/>
  <c r="BN45" i="4" s="1"/>
  <c r="BM41" i="4"/>
  <c r="BL41" i="4"/>
  <c r="BK41" i="4"/>
  <c r="BK45" i="4" s="1"/>
  <c r="BJ41" i="4"/>
  <c r="BI41" i="4"/>
  <c r="BH41" i="4"/>
  <c r="BG41" i="4"/>
  <c r="BG45" i="4" s="1"/>
  <c r="BF41" i="4"/>
  <c r="BE41" i="4"/>
  <c r="BD41" i="4"/>
  <c r="BC41" i="4"/>
  <c r="BB41" i="4"/>
  <c r="BA41" i="4"/>
  <c r="AZ41" i="4"/>
  <c r="AY41" i="4"/>
  <c r="AX41" i="4"/>
  <c r="AX45" i="4" s="1"/>
  <c r="AW41" i="4"/>
  <c r="AV41" i="4"/>
  <c r="AU41" i="4"/>
  <c r="AU45" i="4" s="1"/>
  <c r="AT41" i="4"/>
  <c r="AS41" i="4"/>
  <c r="AR41" i="4"/>
  <c r="AQ41" i="4"/>
  <c r="AQ45" i="4" s="1"/>
  <c r="AP41" i="4"/>
  <c r="AO41" i="4"/>
  <c r="AN41" i="4"/>
  <c r="AM41" i="4"/>
  <c r="AL41" i="4"/>
  <c r="AK41" i="4"/>
  <c r="AJ41" i="4"/>
  <c r="AI41" i="4"/>
  <c r="AH41" i="4"/>
  <c r="AH45" i="4" s="1"/>
  <c r="AG41" i="4"/>
  <c r="AF41" i="4"/>
  <c r="AE41" i="4"/>
  <c r="AE45" i="4" s="1"/>
  <c r="AD41" i="4"/>
  <c r="AC41" i="4"/>
  <c r="AB41" i="4"/>
  <c r="AA41" i="4"/>
  <c r="AA45" i="4" s="1"/>
  <c r="Z41" i="4"/>
  <c r="Y41" i="4"/>
  <c r="X41" i="4"/>
  <c r="W41" i="4"/>
  <c r="V41" i="4"/>
  <c r="U41" i="4"/>
  <c r="T41" i="4"/>
  <c r="S41" i="4"/>
  <c r="R41" i="4"/>
  <c r="R45" i="4" s="1"/>
  <c r="Q41" i="4"/>
  <c r="P41" i="4"/>
  <c r="O41" i="4"/>
  <c r="O45" i="4" s="1"/>
  <c r="N41" i="4"/>
  <c r="M41" i="4"/>
  <c r="M46" i="4" s="1"/>
  <c r="L41" i="4"/>
  <c r="K41" i="4"/>
  <c r="K45" i="4" s="1"/>
  <c r="J41" i="4"/>
  <c r="I41" i="4"/>
  <c r="H41" i="4"/>
  <c r="G41" i="4"/>
  <c r="F41" i="4"/>
  <c r="E41" i="4"/>
  <c r="D41" i="4"/>
  <c r="FQ37" i="4"/>
  <c r="IA36" i="4"/>
  <c r="HK36" i="4"/>
  <c r="FO36" i="4"/>
  <c r="EY36" i="4"/>
  <c r="DC36" i="4"/>
  <c r="AQ36" i="4"/>
  <c r="AO35" i="4"/>
  <c r="IR33" i="4"/>
  <c r="DT33" i="4"/>
  <c r="BR33" i="4"/>
  <c r="BN33" i="4"/>
  <c r="BB33" i="4"/>
  <c r="AX33" i="4"/>
  <c r="AL33" i="4"/>
  <c r="AH33" i="4"/>
  <c r="V33" i="4"/>
  <c r="R33" i="4"/>
  <c r="F33" i="4"/>
  <c r="IV32" i="4"/>
  <c r="IU32" i="4"/>
  <c r="IT32" i="4"/>
  <c r="IS32" i="4"/>
  <c r="IR32" i="4"/>
  <c r="IQ32" i="4"/>
  <c r="IP32" i="4"/>
  <c r="IO32" i="4"/>
  <c r="IO35" i="4" s="1"/>
  <c r="IN32" i="4"/>
  <c r="IM32" i="4"/>
  <c r="IL32" i="4"/>
  <c r="IK32" i="4"/>
  <c r="IJ32" i="4"/>
  <c r="II32" i="4"/>
  <c r="II36" i="4" s="1"/>
  <c r="IH32" i="4"/>
  <c r="IG32" i="4"/>
  <c r="IF32" i="4"/>
  <c r="IE32" i="4"/>
  <c r="ID32" i="4"/>
  <c r="IC32" i="4"/>
  <c r="IB32" i="4"/>
  <c r="IB33" i="4" s="1"/>
  <c r="IA32" i="4"/>
  <c r="HZ32" i="4"/>
  <c r="HY32" i="4"/>
  <c r="HY37" i="4" s="1"/>
  <c r="HX32" i="4"/>
  <c r="HW32" i="4"/>
  <c r="HV32" i="4"/>
  <c r="HU32" i="4"/>
  <c r="HT32" i="4"/>
  <c r="HT33" i="4" s="1"/>
  <c r="HS32" i="4"/>
  <c r="HS36" i="4" s="1"/>
  <c r="HR32" i="4"/>
  <c r="HQ32" i="4"/>
  <c r="HP32" i="4"/>
  <c r="HO32" i="4"/>
  <c r="HN32" i="4"/>
  <c r="HM32" i="4"/>
  <c r="HL32" i="4"/>
  <c r="HL33" i="4" s="1"/>
  <c r="HK32" i="4"/>
  <c r="HJ32" i="4"/>
  <c r="HI32" i="4"/>
  <c r="HI35" i="4" s="1"/>
  <c r="HH32" i="4"/>
  <c r="HG32" i="4"/>
  <c r="HF32" i="4"/>
  <c r="HE32" i="4"/>
  <c r="HD32" i="4"/>
  <c r="HC32" i="4"/>
  <c r="HC36" i="4" s="1"/>
  <c r="HB32" i="4"/>
  <c r="HA32" i="4"/>
  <c r="GZ32" i="4"/>
  <c r="GY32" i="4"/>
  <c r="GX32" i="4"/>
  <c r="GW32" i="4"/>
  <c r="GV32" i="4"/>
  <c r="GV33" i="4" s="1"/>
  <c r="GU32" i="4"/>
  <c r="GT32" i="4"/>
  <c r="GS32" i="4"/>
  <c r="GR32" i="4"/>
  <c r="GQ32" i="4"/>
  <c r="GP32" i="4"/>
  <c r="GO32" i="4"/>
  <c r="GN32" i="4"/>
  <c r="GN33" i="4" s="1"/>
  <c r="GM32" i="4"/>
  <c r="GM36" i="4" s="1"/>
  <c r="GL32" i="4"/>
  <c r="GK32" i="4"/>
  <c r="GJ32" i="4"/>
  <c r="GI32" i="4"/>
  <c r="GH32" i="4"/>
  <c r="GG32" i="4"/>
  <c r="GF32" i="4"/>
  <c r="GF33" i="4" s="1"/>
  <c r="GE32" i="4"/>
  <c r="GD32" i="4"/>
  <c r="GC32" i="4"/>
  <c r="GC35" i="4" s="1"/>
  <c r="GB32" i="4"/>
  <c r="GA32" i="4"/>
  <c r="FZ32" i="4"/>
  <c r="FY32" i="4"/>
  <c r="FX32" i="4"/>
  <c r="FW32" i="4"/>
  <c r="FW36" i="4" s="1"/>
  <c r="FV32" i="4"/>
  <c r="FU32" i="4"/>
  <c r="FT32" i="4"/>
  <c r="FS32" i="4"/>
  <c r="FR32" i="4"/>
  <c r="FQ32" i="4"/>
  <c r="FP32" i="4"/>
  <c r="FP33" i="4" s="1"/>
  <c r="FO32" i="4"/>
  <c r="FN32" i="4"/>
  <c r="FM32" i="4"/>
  <c r="FM35" i="4" s="1"/>
  <c r="FL32" i="4"/>
  <c r="FK32" i="4"/>
  <c r="FJ32" i="4"/>
  <c r="FI32" i="4"/>
  <c r="FH32" i="4"/>
  <c r="FH33" i="4" s="1"/>
  <c r="FG32" i="4"/>
  <c r="FG36" i="4" s="1"/>
  <c r="FF32" i="4"/>
  <c r="FE32" i="4"/>
  <c r="FD32" i="4"/>
  <c r="FC32" i="4"/>
  <c r="FB32" i="4"/>
  <c r="FA32" i="4"/>
  <c r="FA37" i="4" s="1"/>
  <c r="EZ32" i="4"/>
  <c r="EZ33" i="4" s="1"/>
  <c r="EY32" i="4"/>
  <c r="EX32" i="4"/>
  <c r="EW32" i="4"/>
  <c r="EW35" i="4" s="1"/>
  <c r="EV32" i="4"/>
  <c r="EU32" i="4"/>
  <c r="ET32" i="4"/>
  <c r="ES32" i="4"/>
  <c r="ER32" i="4"/>
  <c r="EQ32" i="4"/>
  <c r="EQ36" i="4" s="1"/>
  <c r="EP32" i="4"/>
  <c r="EO32" i="4"/>
  <c r="EN32" i="4"/>
  <c r="EM32" i="4"/>
  <c r="EL32" i="4"/>
  <c r="EK32" i="4"/>
  <c r="EK37" i="4" s="1"/>
  <c r="EJ32" i="4"/>
  <c r="EJ33" i="4" s="1"/>
  <c r="EI32" i="4"/>
  <c r="EH32" i="4"/>
  <c r="EG32" i="4"/>
  <c r="EG35" i="4" s="1"/>
  <c r="EF32" i="4"/>
  <c r="EE32" i="4"/>
  <c r="ED32" i="4"/>
  <c r="EC32" i="4"/>
  <c r="EB32" i="4"/>
  <c r="EB33" i="4" s="1"/>
  <c r="EA32" i="4"/>
  <c r="EA36" i="4" s="1"/>
  <c r="DZ32" i="4"/>
  <c r="DY32" i="4"/>
  <c r="DX32" i="4"/>
  <c r="DW32" i="4"/>
  <c r="DV32" i="4"/>
  <c r="DU32" i="4"/>
  <c r="DU37" i="4" s="1"/>
  <c r="DT32" i="4"/>
  <c r="DS32" i="4"/>
  <c r="DR32" i="4"/>
  <c r="DQ32" i="4"/>
  <c r="DQ35" i="4" s="1"/>
  <c r="DP32" i="4"/>
  <c r="DO32" i="4"/>
  <c r="DN32" i="4"/>
  <c r="DM32" i="4"/>
  <c r="DL32" i="4"/>
  <c r="DK32" i="4"/>
  <c r="DK36" i="4" s="1"/>
  <c r="DJ32" i="4"/>
  <c r="DI32" i="4"/>
  <c r="DH32" i="4"/>
  <c r="DG32" i="4"/>
  <c r="DF32" i="4"/>
  <c r="DE32" i="4"/>
  <c r="DE37" i="4" s="1"/>
  <c r="DD32" i="4"/>
  <c r="DD33" i="4" s="1"/>
  <c r="DC32" i="4"/>
  <c r="DB32" i="4"/>
  <c r="DA32" i="4"/>
  <c r="DA35" i="4" s="1"/>
  <c r="CZ32" i="4"/>
  <c r="CY32" i="4"/>
  <c r="CX32" i="4"/>
  <c r="CW32" i="4"/>
  <c r="CV32" i="4"/>
  <c r="CV33" i="4" s="1"/>
  <c r="CU32" i="4"/>
  <c r="CU36" i="4" s="1"/>
  <c r="CT32" i="4"/>
  <c r="CS32" i="4"/>
  <c r="CR32" i="4"/>
  <c r="CQ32" i="4"/>
  <c r="CP32" i="4"/>
  <c r="CO32" i="4"/>
  <c r="CO37" i="4" s="1"/>
  <c r="CN32" i="4"/>
  <c r="CN33" i="4" s="1"/>
  <c r="CM32" i="4"/>
  <c r="CL32" i="4"/>
  <c r="CK32" i="4"/>
  <c r="CK35" i="4" s="1"/>
  <c r="CJ32" i="4"/>
  <c r="CI32" i="4"/>
  <c r="CH32" i="4"/>
  <c r="CG32" i="4"/>
  <c r="CF32" i="4"/>
  <c r="CE32" i="4"/>
  <c r="CE36" i="4" s="1"/>
  <c r="CD32" i="4"/>
  <c r="CC32" i="4"/>
  <c r="CB32" i="4"/>
  <c r="CA32" i="4"/>
  <c r="CA36" i="4" s="1"/>
  <c r="BZ32" i="4"/>
  <c r="BY32" i="4"/>
  <c r="BY37" i="4" s="1"/>
  <c r="BX32" i="4"/>
  <c r="BW32" i="4"/>
  <c r="BW33" i="4" s="1"/>
  <c r="BV32" i="4"/>
  <c r="BV33" i="4" s="1"/>
  <c r="BU32" i="4"/>
  <c r="BU35" i="4" s="1"/>
  <c r="BT32" i="4"/>
  <c r="BS32" i="4"/>
  <c r="BR32" i="4"/>
  <c r="BQ32" i="4"/>
  <c r="BP32" i="4"/>
  <c r="BO32" i="4"/>
  <c r="BO36" i="4" s="1"/>
  <c r="BN32" i="4"/>
  <c r="BM32" i="4"/>
  <c r="BL32" i="4"/>
  <c r="BK32" i="4"/>
  <c r="BK36" i="4" s="1"/>
  <c r="BJ32" i="4"/>
  <c r="BJ33" i="4" s="1"/>
  <c r="BI32" i="4"/>
  <c r="BI37" i="4" s="1"/>
  <c r="BH32" i="4"/>
  <c r="BG32" i="4"/>
  <c r="BF32" i="4"/>
  <c r="BF33" i="4" s="1"/>
  <c r="BE32" i="4"/>
  <c r="BE35" i="4" s="1"/>
  <c r="BD32" i="4"/>
  <c r="BC32" i="4"/>
  <c r="BB32" i="4"/>
  <c r="BA32" i="4"/>
  <c r="AZ32" i="4"/>
  <c r="AY32" i="4"/>
  <c r="AY36" i="4" s="1"/>
  <c r="AX32" i="4"/>
  <c r="AW32" i="4"/>
  <c r="AV32" i="4"/>
  <c r="AU32" i="4"/>
  <c r="AU36" i="4" s="1"/>
  <c r="AT32" i="4"/>
  <c r="AS32" i="4"/>
  <c r="AS37" i="4" s="1"/>
  <c r="AR32" i="4"/>
  <c r="AQ32" i="4"/>
  <c r="AQ33" i="4" s="1"/>
  <c r="AP32" i="4"/>
  <c r="AP33" i="4" s="1"/>
  <c r="AO32" i="4"/>
  <c r="AN32" i="4"/>
  <c r="AM32" i="4"/>
  <c r="AL32" i="4"/>
  <c r="AK32" i="4"/>
  <c r="AJ32" i="4"/>
  <c r="AI32" i="4"/>
  <c r="AI36" i="4" s="1"/>
  <c r="AH32" i="4"/>
  <c r="AG32" i="4"/>
  <c r="AF32" i="4"/>
  <c r="AE32" i="4"/>
  <c r="AE36" i="4" s="1"/>
  <c r="AD32" i="4"/>
  <c r="AD33" i="4" s="1"/>
  <c r="AC32" i="4"/>
  <c r="AC37" i="4" s="1"/>
  <c r="AB32" i="4"/>
  <c r="AA32" i="4"/>
  <c r="Z32" i="4"/>
  <c r="Z33" i="4" s="1"/>
  <c r="Y32" i="4"/>
  <c r="Y35" i="4" s="1"/>
  <c r="X32" i="4"/>
  <c r="W32" i="4"/>
  <c r="V32" i="4"/>
  <c r="U32" i="4"/>
  <c r="T32" i="4"/>
  <c r="S32" i="4"/>
  <c r="S36" i="4" s="1"/>
  <c r="R32" i="4"/>
  <c r="Q32" i="4"/>
  <c r="P32" i="4"/>
  <c r="O32" i="4"/>
  <c r="O36" i="4" s="1"/>
  <c r="N32" i="4"/>
  <c r="M32" i="4"/>
  <c r="M37" i="4" s="1"/>
  <c r="L32" i="4"/>
  <c r="K32" i="4"/>
  <c r="J32" i="4"/>
  <c r="J33" i="4" s="1"/>
  <c r="I32" i="4"/>
  <c r="I35" i="4" s="1"/>
  <c r="H32" i="4"/>
  <c r="G32" i="4"/>
  <c r="F32" i="4"/>
  <c r="E32" i="4"/>
  <c r="D32" i="4"/>
  <c r="HX28" i="4"/>
  <c r="EV28" i="4"/>
  <c r="BT28" i="4"/>
  <c r="HV27" i="4"/>
  <c r="HF27" i="4"/>
  <c r="FB27" i="4"/>
  <c r="ET27" i="4"/>
  <c r="DN27" i="4"/>
  <c r="BR27" i="4"/>
  <c r="AD27" i="4"/>
  <c r="IJ26" i="4"/>
  <c r="GU26" i="4"/>
  <c r="GQ26" i="4"/>
  <c r="GA26" i="4"/>
  <c r="FW26" i="4"/>
  <c r="FK26" i="4"/>
  <c r="FG26" i="4"/>
  <c r="EU26" i="4"/>
  <c r="EQ26" i="4"/>
  <c r="EE26" i="4"/>
  <c r="EA26" i="4"/>
  <c r="DO26" i="4"/>
  <c r="DK26" i="4"/>
  <c r="CY26" i="4"/>
  <c r="CU26" i="4"/>
  <c r="CI26" i="4"/>
  <c r="BS26" i="4"/>
  <c r="BC26" i="4"/>
  <c r="AM26" i="4"/>
  <c r="W26" i="4"/>
  <c r="G26" i="4"/>
  <c r="IQ24" i="4"/>
  <c r="IP24" i="4"/>
  <c r="II24" i="4"/>
  <c r="IH24" i="4"/>
  <c r="IA24" i="4"/>
  <c r="HZ24" i="4"/>
  <c r="HS24" i="4"/>
  <c r="HR24" i="4"/>
  <c r="HK24" i="4"/>
  <c r="HJ24" i="4"/>
  <c r="HC24" i="4"/>
  <c r="HB24" i="4"/>
  <c r="GU24" i="4"/>
  <c r="GT24" i="4"/>
  <c r="GM24" i="4"/>
  <c r="GL24" i="4"/>
  <c r="GE24" i="4"/>
  <c r="GD24" i="4"/>
  <c r="FW24" i="4"/>
  <c r="FV24" i="4"/>
  <c r="FO24" i="4"/>
  <c r="FN24" i="4"/>
  <c r="FG24" i="4"/>
  <c r="FF24" i="4"/>
  <c r="EY24" i="4"/>
  <c r="EX24" i="4"/>
  <c r="EQ24" i="4"/>
  <c r="EP24" i="4"/>
  <c r="EI24" i="4"/>
  <c r="EH24" i="4"/>
  <c r="EA24" i="4"/>
  <c r="DZ24" i="4"/>
  <c r="DS24" i="4"/>
  <c r="DR24" i="4"/>
  <c r="DK24" i="4"/>
  <c r="DJ24" i="4"/>
  <c r="DC24" i="4"/>
  <c r="DB24" i="4"/>
  <c r="CU24" i="4"/>
  <c r="CT24" i="4"/>
  <c r="CM24" i="4"/>
  <c r="CL24" i="4"/>
  <c r="CE24" i="4"/>
  <c r="CD24" i="4"/>
  <c r="BW24" i="4"/>
  <c r="BV24" i="4"/>
  <c r="BO24" i="4"/>
  <c r="BN24" i="4"/>
  <c r="BG24" i="4"/>
  <c r="BF24" i="4"/>
  <c r="AY24" i="4"/>
  <c r="AX24" i="4"/>
  <c r="AQ24" i="4"/>
  <c r="AP24" i="4"/>
  <c r="AI24" i="4"/>
  <c r="AH24" i="4"/>
  <c r="AA24" i="4"/>
  <c r="Z24" i="4"/>
  <c r="S24" i="4"/>
  <c r="K24" i="4"/>
  <c r="IV23" i="4"/>
  <c r="IV28" i="4" s="1"/>
  <c r="IU23" i="4"/>
  <c r="IU24" i="4" s="1"/>
  <c r="IT23" i="4"/>
  <c r="IT24" i="4" s="1"/>
  <c r="IS23" i="4"/>
  <c r="IR23" i="4"/>
  <c r="IR28" i="4" s="1"/>
  <c r="IQ23" i="4"/>
  <c r="IP23" i="4"/>
  <c r="IO23" i="4"/>
  <c r="IN23" i="4"/>
  <c r="IM23" i="4"/>
  <c r="IM24" i="4" s="1"/>
  <c r="IL23" i="4"/>
  <c r="IL27" i="4" s="1"/>
  <c r="IK23" i="4"/>
  <c r="IJ23" i="4"/>
  <c r="IJ24" i="4" s="1"/>
  <c r="II23" i="4"/>
  <c r="IH23" i="4"/>
  <c r="IG23" i="4"/>
  <c r="IF23" i="4"/>
  <c r="IF28" i="4" s="1"/>
  <c r="IE23" i="4"/>
  <c r="IE24" i="4" s="1"/>
  <c r="ID23" i="4"/>
  <c r="ID24" i="4" s="1"/>
  <c r="IC23" i="4"/>
  <c r="IB23" i="4"/>
  <c r="IA23" i="4"/>
  <c r="HZ23" i="4"/>
  <c r="HY23" i="4"/>
  <c r="HX23" i="4"/>
  <c r="HX26" i="4" s="1"/>
  <c r="HW23" i="4"/>
  <c r="HW24" i="4" s="1"/>
  <c r="HV23" i="4"/>
  <c r="HV24" i="4" s="1"/>
  <c r="HU23" i="4"/>
  <c r="HT23" i="4"/>
  <c r="HT24" i="4" s="1"/>
  <c r="HS23" i="4"/>
  <c r="HR23" i="4"/>
  <c r="HQ23" i="4"/>
  <c r="HP23" i="4"/>
  <c r="HP28" i="4" s="1"/>
  <c r="HO23" i="4"/>
  <c r="HO24" i="4" s="1"/>
  <c r="HN23" i="4"/>
  <c r="HN24" i="4" s="1"/>
  <c r="HM23" i="4"/>
  <c r="HL23" i="4"/>
  <c r="HL28" i="4" s="1"/>
  <c r="HK23" i="4"/>
  <c r="HJ23" i="4"/>
  <c r="HI23" i="4"/>
  <c r="HH23" i="4"/>
  <c r="HH26" i="4" s="1"/>
  <c r="HG23" i="4"/>
  <c r="HG24" i="4" s="1"/>
  <c r="HF23" i="4"/>
  <c r="HF24" i="4" s="1"/>
  <c r="HE23" i="4"/>
  <c r="HD23" i="4"/>
  <c r="HD24" i="4" s="1"/>
  <c r="HC23" i="4"/>
  <c r="HB23" i="4"/>
  <c r="HA23" i="4"/>
  <c r="GZ23" i="4"/>
  <c r="GZ28" i="4" s="1"/>
  <c r="GY23" i="4"/>
  <c r="GY26" i="4" s="1"/>
  <c r="GX23" i="4"/>
  <c r="GX28" i="4" s="1"/>
  <c r="GW23" i="4"/>
  <c r="GV23" i="4"/>
  <c r="GV28" i="4" s="1"/>
  <c r="GU23" i="4"/>
  <c r="GT23" i="4"/>
  <c r="GT28" i="4" s="1"/>
  <c r="GS23" i="4"/>
  <c r="GR23" i="4"/>
  <c r="GR26" i="4" s="1"/>
  <c r="GQ23" i="4"/>
  <c r="GQ24" i="4" s="1"/>
  <c r="GP23" i="4"/>
  <c r="GP28" i="4" s="1"/>
  <c r="GO23" i="4"/>
  <c r="GN23" i="4"/>
  <c r="GN26" i="4" s="1"/>
  <c r="GM23" i="4"/>
  <c r="GM26" i="4" s="1"/>
  <c r="GL23" i="4"/>
  <c r="GL28" i="4" s="1"/>
  <c r="GK23" i="4"/>
  <c r="GJ23" i="4"/>
  <c r="GJ28" i="4" s="1"/>
  <c r="GI23" i="4"/>
  <c r="GI26" i="4" s="1"/>
  <c r="GH23" i="4"/>
  <c r="GH28" i="4" s="1"/>
  <c r="GG23" i="4"/>
  <c r="GF23" i="4"/>
  <c r="GF28" i="4" s="1"/>
  <c r="GE23" i="4"/>
  <c r="GE26" i="4" s="1"/>
  <c r="GD23" i="4"/>
  <c r="GC23" i="4"/>
  <c r="GB23" i="4"/>
  <c r="GA23" i="4"/>
  <c r="GA24" i="4" s="1"/>
  <c r="FZ23" i="4"/>
  <c r="FY23" i="4"/>
  <c r="FX23" i="4"/>
  <c r="FX26" i="4" s="1"/>
  <c r="FW23" i="4"/>
  <c r="FV23" i="4"/>
  <c r="FV28" i="4" s="1"/>
  <c r="FU23" i="4"/>
  <c r="FT23" i="4"/>
  <c r="FT28" i="4" s="1"/>
  <c r="FS23" i="4"/>
  <c r="FS26" i="4" s="1"/>
  <c r="FR23" i="4"/>
  <c r="FR28" i="4" s="1"/>
  <c r="FQ23" i="4"/>
  <c r="FP23" i="4"/>
  <c r="FP28" i="4" s="1"/>
  <c r="FO23" i="4"/>
  <c r="FO26" i="4" s="1"/>
  <c r="FN23" i="4"/>
  <c r="FN28" i="4" s="1"/>
  <c r="FM23" i="4"/>
  <c r="FL23" i="4"/>
  <c r="FL26" i="4" s="1"/>
  <c r="FK23" i="4"/>
  <c r="FK24" i="4" s="1"/>
  <c r="FJ23" i="4"/>
  <c r="FJ28" i="4" s="1"/>
  <c r="FI23" i="4"/>
  <c r="FH23" i="4"/>
  <c r="FH26" i="4" s="1"/>
  <c r="FG23" i="4"/>
  <c r="FF23" i="4"/>
  <c r="FF28" i="4" s="1"/>
  <c r="FE23" i="4"/>
  <c r="FD23" i="4"/>
  <c r="FD28" i="4" s="1"/>
  <c r="FC23" i="4"/>
  <c r="FC27" i="4" s="1"/>
  <c r="FB23" i="4"/>
  <c r="FB28" i="4" s="1"/>
  <c r="FA23" i="4"/>
  <c r="EZ23" i="4"/>
  <c r="EZ28" i="4" s="1"/>
  <c r="EY23" i="4"/>
  <c r="EY26" i="4" s="1"/>
  <c r="EX23" i="4"/>
  <c r="EX28" i="4" s="1"/>
  <c r="EW23" i="4"/>
  <c r="EV23" i="4"/>
  <c r="EV26" i="4" s="1"/>
  <c r="EU23" i="4"/>
  <c r="EU27" i="4" s="1"/>
  <c r="ET23" i="4"/>
  <c r="ET28" i="4" s="1"/>
  <c r="ES23" i="4"/>
  <c r="ER23" i="4"/>
  <c r="ER26" i="4" s="1"/>
  <c r="EQ23" i="4"/>
  <c r="EP23" i="4"/>
  <c r="EP28" i="4" s="1"/>
  <c r="EO23" i="4"/>
  <c r="EN23" i="4"/>
  <c r="EN28" i="4" s="1"/>
  <c r="EM23" i="4"/>
  <c r="EM27" i="4" s="1"/>
  <c r="EL23" i="4"/>
  <c r="EK23" i="4"/>
  <c r="EJ23" i="4"/>
  <c r="EJ28" i="4" s="1"/>
  <c r="EI23" i="4"/>
  <c r="EI26" i="4" s="1"/>
  <c r="EH23" i="4"/>
  <c r="EH28" i="4" s="1"/>
  <c r="EG23" i="4"/>
  <c r="EF23" i="4"/>
  <c r="EF26" i="4" s="1"/>
  <c r="EE23" i="4"/>
  <c r="EE27" i="4" s="1"/>
  <c r="ED23" i="4"/>
  <c r="ED28" i="4" s="1"/>
  <c r="EC23" i="4"/>
  <c r="EB23" i="4"/>
  <c r="EB26" i="4" s="1"/>
  <c r="EA23" i="4"/>
  <c r="DZ23" i="4"/>
  <c r="DZ28" i="4" s="1"/>
  <c r="DY23" i="4"/>
  <c r="DX23" i="4"/>
  <c r="DX28" i="4" s="1"/>
  <c r="DW23" i="4"/>
  <c r="DW27" i="4" s="1"/>
  <c r="DV23" i="4"/>
  <c r="DV28" i="4" s="1"/>
  <c r="DU23" i="4"/>
  <c r="DT23" i="4"/>
  <c r="DT28" i="4" s="1"/>
  <c r="DS23" i="4"/>
  <c r="DS26" i="4" s="1"/>
  <c r="DR23" i="4"/>
  <c r="DQ23" i="4"/>
  <c r="DP23" i="4"/>
  <c r="DO23" i="4"/>
  <c r="DO27" i="4" s="1"/>
  <c r="DN23" i="4"/>
  <c r="DN28" i="4" s="1"/>
  <c r="DM23" i="4"/>
  <c r="DL23" i="4"/>
  <c r="DL26" i="4" s="1"/>
  <c r="DK23" i="4"/>
  <c r="DJ23" i="4"/>
  <c r="DJ28" i="4" s="1"/>
  <c r="DI23" i="4"/>
  <c r="DI26" i="4" s="1"/>
  <c r="DH23" i="4"/>
  <c r="DH28" i="4" s="1"/>
  <c r="DG23" i="4"/>
  <c r="DG27" i="4" s="1"/>
  <c r="DF23" i="4"/>
  <c r="DE23" i="4"/>
  <c r="DD23" i="4"/>
  <c r="DD28" i="4" s="1"/>
  <c r="DC23" i="4"/>
  <c r="DC26" i="4" s="1"/>
  <c r="DB23" i="4"/>
  <c r="DB28" i="4" s="1"/>
  <c r="DA23" i="4"/>
  <c r="CZ23" i="4"/>
  <c r="CZ26" i="4" s="1"/>
  <c r="CY23" i="4"/>
  <c r="CY27" i="4" s="1"/>
  <c r="CX23" i="4"/>
  <c r="CX28" i="4" s="1"/>
  <c r="CW23" i="4"/>
  <c r="CV23" i="4"/>
  <c r="CV26" i="4" s="1"/>
  <c r="CU23" i="4"/>
  <c r="CT23" i="4"/>
  <c r="CT28" i="4" s="1"/>
  <c r="CS23" i="4"/>
  <c r="CR23" i="4"/>
  <c r="CR28" i="4" s="1"/>
  <c r="CQ23" i="4"/>
  <c r="CQ27" i="4" s="1"/>
  <c r="CP23" i="4"/>
  <c r="CP28" i="4" s="1"/>
  <c r="CO23" i="4"/>
  <c r="CN23" i="4"/>
  <c r="CN28" i="4" s="1"/>
  <c r="CM23" i="4"/>
  <c r="CM26" i="4" s="1"/>
  <c r="CL23" i="4"/>
  <c r="CL28" i="4" s="1"/>
  <c r="CK23" i="4"/>
  <c r="CJ23" i="4"/>
  <c r="CI23" i="4"/>
  <c r="CI27" i="4" s="1"/>
  <c r="CH23" i="4"/>
  <c r="CH28" i="4" s="1"/>
  <c r="CG23" i="4"/>
  <c r="CG26" i="4" s="1"/>
  <c r="CF23" i="4"/>
  <c r="CF26" i="4" s="1"/>
  <c r="CE23" i="4"/>
  <c r="CE26" i="4" s="1"/>
  <c r="CD23" i="4"/>
  <c r="CD28" i="4" s="1"/>
  <c r="CC23" i="4"/>
  <c r="CB23" i="4"/>
  <c r="CB28" i="4" s="1"/>
  <c r="CA23" i="4"/>
  <c r="CA27" i="4" s="1"/>
  <c r="BZ23" i="4"/>
  <c r="BY23" i="4"/>
  <c r="BX23" i="4"/>
  <c r="BX28" i="4" s="1"/>
  <c r="BW23" i="4"/>
  <c r="BW26" i="4" s="1"/>
  <c r="BV23" i="4"/>
  <c r="BV28" i="4" s="1"/>
  <c r="BU23" i="4"/>
  <c r="BU26" i="4" s="1"/>
  <c r="BT23" i="4"/>
  <c r="BT26" i="4" s="1"/>
  <c r="BS23" i="4"/>
  <c r="BS27" i="4" s="1"/>
  <c r="BR23" i="4"/>
  <c r="BR28" i="4" s="1"/>
  <c r="BQ23" i="4"/>
  <c r="BP23" i="4"/>
  <c r="BP26" i="4" s="1"/>
  <c r="BO23" i="4"/>
  <c r="BO26" i="4" s="1"/>
  <c r="BN23" i="4"/>
  <c r="BN28" i="4" s="1"/>
  <c r="BM23" i="4"/>
  <c r="BL23" i="4"/>
  <c r="BL28" i="4" s="1"/>
  <c r="BK23" i="4"/>
  <c r="BK27" i="4" s="1"/>
  <c r="BJ23" i="4"/>
  <c r="BJ28" i="4" s="1"/>
  <c r="BI23" i="4"/>
  <c r="BI26" i="4" s="1"/>
  <c r="BH23" i="4"/>
  <c r="BH28" i="4" s="1"/>
  <c r="BG23" i="4"/>
  <c r="BG26" i="4" s="1"/>
  <c r="BF23" i="4"/>
  <c r="BE23" i="4"/>
  <c r="BD23" i="4"/>
  <c r="BC23" i="4"/>
  <c r="BC27" i="4" s="1"/>
  <c r="BB23" i="4"/>
  <c r="BB28" i="4" s="1"/>
  <c r="BA23" i="4"/>
  <c r="AZ23" i="4"/>
  <c r="AZ26" i="4" s="1"/>
  <c r="AY23" i="4"/>
  <c r="AY26" i="4" s="1"/>
  <c r="AX23" i="4"/>
  <c r="AX28" i="4" s="1"/>
  <c r="AW23" i="4"/>
  <c r="AW26" i="4" s="1"/>
  <c r="AV23" i="4"/>
  <c r="AV28" i="4" s="1"/>
  <c r="AU23" i="4"/>
  <c r="AU27" i="4" s="1"/>
  <c r="AT23" i="4"/>
  <c r="AS23" i="4"/>
  <c r="AR23" i="4"/>
  <c r="AR28" i="4" s="1"/>
  <c r="AQ23" i="4"/>
  <c r="AQ26" i="4" s="1"/>
  <c r="AP23" i="4"/>
  <c r="AP28" i="4" s="1"/>
  <c r="AO23" i="4"/>
  <c r="AN23" i="4"/>
  <c r="AM23" i="4"/>
  <c r="AM27" i="4" s="1"/>
  <c r="AL23" i="4"/>
  <c r="AL28" i="4" s="1"/>
  <c r="AK23" i="4"/>
  <c r="AK26" i="4" s="1"/>
  <c r="AJ23" i="4"/>
  <c r="AJ26" i="4" s="1"/>
  <c r="AI23" i="4"/>
  <c r="AI26" i="4" s="1"/>
  <c r="AH23" i="4"/>
  <c r="AH28" i="4" s="1"/>
  <c r="AG23" i="4"/>
  <c r="AF23" i="4"/>
  <c r="AF28" i="4" s="1"/>
  <c r="AE23" i="4"/>
  <c r="AE27" i="4" s="1"/>
  <c r="AD23" i="4"/>
  <c r="AD28" i="4" s="1"/>
  <c r="AC23" i="4"/>
  <c r="AB23" i="4"/>
  <c r="AB28" i="4" s="1"/>
  <c r="AA23" i="4"/>
  <c r="AA26" i="4" s="1"/>
  <c r="Z23" i="4"/>
  <c r="Z28" i="4" s="1"/>
  <c r="Y23" i="4"/>
  <c r="X23" i="4"/>
  <c r="W23" i="4"/>
  <c r="W27" i="4" s="1"/>
  <c r="V23" i="4"/>
  <c r="V28" i="4" s="1"/>
  <c r="U23" i="4"/>
  <c r="T23" i="4"/>
  <c r="T26" i="4" s="1"/>
  <c r="S23" i="4"/>
  <c r="S26" i="4" s="1"/>
  <c r="R23" i="4"/>
  <c r="R28" i="4" s="1"/>
  <c r="Q23" i="4"/>
  <c r="Q26" i="4" s="1"/>
  <c r="P23" i="4"/>
  <c r="P28" i="4" s="1"/>
  <c r="O23" i="4"/>
  <c r="O27" i="4" s="1"/>
  <c r="N23" i="4"/>
  <c r="M23" i="4"/>
  <c r="L23" i="4"/>
  <c r="L28" i="4" s="1"/>
  <c r="K23" i="4"/>
  <c r="K26" i="4" s="1"/>
  <c r="J23" i="4"/>
  <c r="J28" i="4" s="1"/>
  <c r="I23" i="4"/>
  <c r="H23" i="4"/>
  <c r="G23" i="4"/>
  <c r="G27" i="4" s="1"/>
  <c r="F23" i="4"/>
  <c r="F28" i="4" s="1"/>
  <c r="E23" i="4"/>
  <c r="E26" i="4" s="1"/>
  <c r="D23" i="4"/>
  <c r="D26" i="4" s="1"/>
  <c r="IQ10" i="4"/>
  <c r="HK10" i="4"/>
  <c r="GE10" i="4"/>
  <c r="EY10" i="4"/>
  <c r="DS10" i="4"/>
  <c r="CM10" i="4"/>
  <c r="BG10" i="4"/>
  <c r="AA10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IP8" i="4"/>
  <c r="IM8" i="4"/>
  <c r="IE8" i="4"/>
  <c r="IA8" i="4"/>
  <c r="HZ8" i="4"/>
  <c r="HS8" i="4"/>
  <c r="HR8" i="4"/>
  <c r="HJ8" i="4"/>
  <c r="HG8" i="4"/>
  <c r="GY8" i="4"/>
  <c r="GU8" i="4"/>
  <c r="GT8" i="4"/>
  <c r="GM8" i="4"/>
  <c r="GL8" i="4"/>
  <c r="GD8" i="4"/>
  <c r="GA8" i="4"/>
  <c r="FS8" i="4"/>
  <c r="FO8" i="4"/>
  <c r="FN8" i="4"/>
  <c r="FJ8" i="4"/>
  <c r="FG8" i="4"/>
  <c r="FB8" i="4"/>
  <c r="EY8" i="4"/>
  <c r="ET8" i="4"/>
  <c r="EQ8" i="4"/>
  <c r="EL8" i="4"/>
  <c r="EI8" i="4"/>
  <c r="ED8" i="4"/>
  <c r="EA8" i="4"/>
  <c r="DV8" i="4"/>
  <c r="DS8" i="4"/>
  <c r="DN8" i="4"/>
  <c r="DK8" i="4"/>
  <c r="DF8" i="4"/>
  <c r="DC8" i="4"/>
  <c r="CX8" i="4"/>
  <c r="CU8" i="4"/>
  <c r="CP8" i="4"/>
  <c r="CM8" i="4"/>
  <c r="CH8" i="4"/>
  <c r="CE8" i="4"/>
  <c r="BZ8" i="4"/>
  <c r="BW8" i="4"/>
  <c r="BR8" i="4"/>
  <c r="BJ8" i="4"/>
  <c r="BB8" i="4"/>
  <c r="AT8" i="4"/>
  <c r="AL8" i="4"/>
  <c r="AD8" i="4"/>
  <c r="V8" i="4"/>
  <c r="N8" i="4"/>
  <c r="F8" i="4"/>
  <c r="IQ6" i="4"/>
  <c r="IP6" i="4"/>
  <c r="II6" i="4"/>
  <c r="IH6" i="4"/>
  <c r="IA6" i="4"/>
  <c r="HZ6" i="4"/>
  <c r="HS6" i="4"/>
  <c r="HR6" i="4"/>
  <c r="HK6" i="4"/>
  <c r="HJ6" i="4"/>
  <c r="HC6" i="4"/>
  <c r="HB6" i="4"/>
  <c r="GU6" i="4"/>
  <c r="GT6" i="4"/>
  <c r="GM6" i="4"/>
  <c r="GL6" i="4"/>
  <c r="GE6" i="4"/>
  <c r="GD6" i="4"/>
  <c r="FW6" i="4"/>
  <c r="FV6" i="4"/>
  <c r="FO6" i="4"/>
  <c r="FN6" i="4"/>
  <c r="FG6" i="4"/>
  <c r="FF6" i="4"/>
  <c r="EY6" i="4"/>
  <c r="EX6" i="4"/>
  <c r="EQ6" i="4"/>
  <c r="EP6" i="4"/>
  <c r="EI6" i="4"/>
  <c r="EH6" i="4"/>
  <c r="EA6" i="4"/>
  <c r="DZ6" i="4"/>
  <c r="DS6" i="4"/>
  <c r="DR6" i="4"/>
  <c r="DK6" i="4"/>
  <c r="DJ6" i="4"/>
  <c r="DC6" i="4"/>
  <c r="DB6" i="4"/>
  <c r="CU6" i="4"/>
  <c r="CT6" i="4"/>
  <c r="CM6" i="4"/>
  <c r="CL6" i="4"/>
  <c r="CE6" i="4"/>
  <c r="CD6" i="4"/>
  <c r="BW6" i="4"/>
  <c r="BV6" i="4"/>
  <c r="BO6" i="4"/>
  <c r="BN6" i="4"/>
  <c r="BG6" i="4"/>
  <c r="BF6" i="4"/>
  <c r="AY6" i="4"/>
  <c r="AX6" i="4"/>
  <c r="AQ6" i="4"/>
  <c r="AP6" i="4"/>
  <c r="AI6" i="4"/>
  <c r="AH6" i="4"/>
  <c r="AA6" i="4"/>
  <c r="Z6" i="4"/>
  <c r="S6" i="4"/>
  <c r="R6" i="4"/>
  <c r="K6" i="4"/>
  <c r="J6" i="4"/>
  <c r="IV4" i="4"/>
  <c r="IV7" i="4" s="1"/>
  <c r="IU4" i="4"/>
  <c r="IT4" i="4"/>
  <c r="IS4" i="4"/>
  <c r="IR4" i="4"/>
  <c r="IR7" i="4" s="1"/>
  <c r="IQ4" i="4"/>
  <c r="IQ7" i="4" s="1"/>
  <c r="IP4" i="4"/>
  <c r="IP10" i="4" s="1"/>
  <c r="IO4" i="4"/>
  <c r="IN4" i="4"/>
  <c r="IN7" i="4" s="1"/>
  <c r="IM4" i="4"/>
  <c r="IM7" i="4" s="1"/>
  <c r="IL4" i="4"/>
  <c r="IK4" i="4"/>
  <c r="IJ4" i="4"/>
  <c r="IJ7" i="4" s="1"/>
  <c r="II4" i="4"/>
  <c r="IH4" i="4"/>
  <c r="IH10" i="4" s="1"/>
  <c r="IG4" i="4"/>
  <c r="IF4" i="4"/>
  <c r="IF7" i="4" s="1"/>
  <c r="IE4" i="4"/>
  <c r="ID4" i="4"/>
  <c r="IC4" i="4"/>
  <c r="IB4" i="4"/>
  <c r="IB7" i="4" s="1"/>
  <c r="IA4" i="4"/>
  <c r="IA7" i="4" s="1"/>
  <c r="HZ4" i="4"/>
  <c r="HZ10" i="4" s="1"/>
  <c r="HY4" i="4"/>
  <c r="HX4" i="4"/>
  <c r="HX7" i="4" s="1"/>
  <c r="HW4" i="4"/>
  <c r="HW7" i="4" s="1"/>
  <c r="HV4" i="4"/>
  <c r="HU4" i="4"/>
  <c r="HT4" i="4"/>
  <c r="HT7" i="4" s="1"/>
  <c r="HS4" i="4"/>
  <c r="HR4" i="4"/>
  <c r="HR10" i="4" s="1"/>
  <c r="HQ4" i="4"/>
  <c r="HP4" i="4"/>
  <c r="HP7" i="4" s="1"/>
  <c r="HO4" i="4"/>
  <c r="HN4" i="4"/>
  <c r="HM4" i="4"/>
  <c r="HL4" i="4"/>
  <c r="HL7" i="4" s="1"/>
  <c r="HK4" i="4"/>
  <c r="HK7" i="4" s="1"/>
  <c r="HJ4" i="4"/>
  <c r="HJ10" i="4" s="1"/>
  <c r="HI4" i="4"/>
  <c r="HH4" i="4"/>
  <c r="HH7" i="4" s="1"/>
  <c r="HG4" i="4"/>
  <c r="HG7" i="4" s="1"/>
  <c r="HF4" i="4"/>
  <c r="HE4" i="4"/>
  <c r="HD4" i="4"/>
  <c r="HD7" i="4" s="1"/>
  <c r="HC4" i="4"/>
  <c r="HB4" i="4"/>
  <c r="HB10" i="4" s="1"/>
  <c r="HA4" i="4"/>
  <c r="GZ4" i="4"/>
  <c r="GZ7" i="4" s="1"/>
  <c r="GY4" i="4"/>
  <c r="GX4" i="4"/>
  <c r="GW4" i="4"/>
  <c r="GV4" i="4"/>
  <c r="GV7" i="4" s="1"/>
  <c r="GU4" i="4"/>
  <c r="GU7" i="4" s="1"/>
  <c r="GT4" i="4"/>
  <c r="GT10" i="4" s="1"/>
  <c r="GS4" i="4"/>
  <c r="GR4" i="4"/>
  <c r="GR7" i="4" s="1"/>
  <c r="GQ4" i="4"/>
  <c r="GQ7" i="4" s="1"/>
  <c r="GP4" i="4"/>
  <c r="GO4" i="4"/>
  <c r="GN4" i="4"/>
  <c r="GN7" i="4" s="1"/>
  <c r="GM4" i="4"/>
  <c r="GL4" i="4"/>
  <c r="GL10" i="4" s="1"/>
  <c r="GK4" i="4"/>
  <c r="GJ4" i="4"/>
  <c r="GJ7" i="4" s="1"/>
  <c r="GI4" i="4"/>
  <c r="GH4" i="4"/>
  <c r="GG4" i="4"/>
  <c r="GF4" i="4"/>
  <c r="GF7" i="4" s="1"/>
  <c r="GE4" i="4"/>
  <c r="GE7" i="4" s="1"/>
  <c r="GD4" i="4"/>
  <c r="GD10" i="4" s="1"/>
  <c r="GC4" i="4"/>
  <c r="GB4" i="4"/>
  <c r="GB7" i="4" s="1"/>
  <c r="GA4" i="4"/>
  <c r="GA7" i="4" s="1"/>
  <c r="FZ4" i="4"/>
  <c r="FY4" i="4"/>
  <c r="FX4" i="4"/>
  <c r="FX7" i="4" s="1"/>
  <c r="FW4" i="4"/>
  <c r="FV4" i="4"/>
  <c r="FV10" i="4" s="1"/>
  <c r="FU4" i="4"/>
  <c r="FT4" i="4"/>
  <c r="FT7" i="4" s="1"/>
  <c r="FS4" i="4"/>
  <c r="FR4" i="4"/>
  <c r="FQ4" i="4"/>
  <c r="FP4" i="4"/>
  <c r="FP7" i="4" s="1"/>
  <c r="FO4" i="4"/>
  <c r="FO7" i="4" s="1"/>
  <c r="FN4" i="4"/>
  <c r="FN10" i="4" s="1"/>
  <c r="FM4" i="4"/>
  <c r="FL4" i="4"/>
  <c r="FL7" i="4" s="1"/>
  <c r="FK4" i="4"/>
  <c r="FK7" i="4" s="1"/>
  <c r="FJ4" i="4"/>
  <c r="FJ10" i="4" s="1"/>
  <c r="FI4" i="4"/>
  <c r="FH4" i="4"/>
  <c r="FH7" i="4" s="1"/>
  <c r="FG4" i="4"/>
  <c r="FF4" i="4"/>
  <c r="FF10" i="4" s="1"/>
  <c r="FE4" i="4"/>
  <c r="FD4" i="4"/>
  <c r="FD7" i="4" s="1"/>
  <c r="FC4" i="4"/>
  <c r="FC8" i="4" s="1"/>
  <c r="FB4" i="4"/>
  <c r="FB10" i="4" s="1"/>
  <c r="FA4" i="4"/>
  <c r="EZ4" i="4"/>
  <c r="EZ7" i="4" s="1"/>
  <c r="EY4" i="4"/>
  <c r="EY7" i="4" s="1"/>
  <c r="EX4" i="4"/>
  <c r="EX10" i="4" s="1"/>
  <c r="EW4" i="4"/>
  <c r="EV4" i="4"/>
  <c r="EV7" i="4" s="1"/>
  <c r="EU4" i="4"/>
  <c r="EU7" i="4" s="1"/>
  <c r="ET4" i="4"/>
  <c r="ET10" i="4" s="1"/>
  <c r="ES4" i="4"/>
  <c r="ER4" i="4"/>
  <c r="ER7" i="4" s="1"/>
  <c r="EQ4" i="4"/>
  <c r="EP4" i="4"/>
  <c r="EP10" i="4" s="1"/>
  <c r="EO4" i="4"/>
  <c r="EN4" i="4"/>
  <c r="EN7" i="4" s="1"/>
  <c r="EM4" i="4"/>
  <c r="EM8" i="4" s="1"/>
  <c r="EL4" i="4"/>
  <c r="EL10" i="4" s="1"/>
  <c r="EK4" i="4"/>
  <c r="EJ4" i="4"/>
  <c r="EJ7" i="4" s="1"/>
  <c r="EI4" i="4"/>
  <c r="EI7" i="4" s="1"/>
  <c r="EH4" i="4"/>
  <c r="EH10" i="4" s="1"/>
  <c r="EG4" i="4"/>
  <c r="EF4" i="4"/>
  <c r="EF7" i="4" s="1"/>
  <c r="EE4" i="4"/>
  <c r="EE7" i="4" s="1"/>
  <c r="ED4" i="4"/>
  <c r="ED10" i="4" s="1"/>
  <c r="EC4" i="4"/>
  <c r="EB4" i="4"/>
  <c r="EB7" i="4" s="1"/>
  <c r="EA4" i="4"/>
  <c r="DZ4" i="4"/>
  <c r="DZ10" i="4" s="1"/>
  <c r="DY4" i="4"/>
  <c r="DX4" i="4"/>
  <c r="DX7" i="4" s="1"/>
  <c r="DW4" i="4"/>
  <c r="DW8" i="4" s="1"/>
  <c r="DV4" i="4"/>
  <c r="DV10" i="4" s="1"/>
  <c r="DU4" i="4"/>
  <c r="DT4" i="4"/>
  <c r="DT7" i="4" s="1"/>
  <c r="DS4" i="4"/>
  <c r="DS7" i="4" s="1"/>
  <c r="DR4" i="4"/>
  <c r="DR10" i="4" s="1"/>
  <c r="DQ4" i="4"/>
  <c r="DP4" i="4"/>
  <c r="DP7" i="4" s="1"/>
  <c r="DO4" i="4"/>
  <c r="DO7" i="4" s="1"/>
  <c r="DN4" i="4"/>
  <c r="DN10" i="4" s="1"/>
  <c r="DM4" i="4"/>
  <c r="DL4" i="4"/>
  <c r="DL7" i="4" s="1"/>
  <c r="DK4" i="4"/>
  <c r="DJ4" i="4"/>
  <c r="DJ10" i="4" s="1"/>
  <c r="DI4" i="4"/>
  <c r="DH4" i="4"/>
  <c r="DH7" i="4" s="1"/>
  <c r="DG4" i="4"/>
  <c r="DG8" i="4" s="1"/>
  <c r="DF4" i="4"/>
  <c r="DF10" i="4" s="1"/>
  <c r="DE4" i="4"/>
  <c r="DD4" i="4"/>
  <c r="DD7" i="4" s="1"/>
  <c r="DC4" i="4"/>
  <c r="DC7" i="4" s="1"/>
  <c r="DB4" i="4"/>
  <c r="DB10" i="4" s="1"/>
  <c r="DA4" i="4"/>
  <c r="CZ4" i="4"/>
  <c r="CZ7" i="4" s="1"/>
  <c r="CY4" i="4"/>
  <c r="CY7" i="4" s="1"/>
  <c r="CX4" i="4"/>
  <c r="CX10" i="4" s="1"/>
  <c r="CW4" i="4"/>
  <c r="CV4" i="4"/>
  <c r="CV7" i="4" s="1"/>
  <c r="CU4" i="4"/>
  <c r="CT4" i="4"/>
  <c r="CT10" i="4" s="1"/>
  <c r="CS4" i="4"/>
  <c r="CR4" i="4"/>
  <c r="CR7" i="4" s="1"/>
  <c r="CQ4" i="4"/>
  <c r="CQ8" i="4" s="1"/>
  <c r="CP4" i="4"/>
  <c r="CP10" i="4" s="1"/>
  <c r="CO4" i="4"/>
  <c r="CN4" i="4"/>
  <c r="CN7" i="4" s="1"/>
  <c r="CM4" i="4"/>
  <c r="CM7" i="4" s="1"/>
  <c r="CL4" i="4"/>
  <c r="CL10" i="4" s="1"/>
  <c r="CK4" i="4"/>
  <c r="CJ4" i="4"/>
  <c r="CJ7" i="4" s="1"/>
  <c r="CI4" i="4"/>
  <c r="CI7" i="4" s="1"/>
  <c r="CH4" i="4"/>
  <c r="CH10" i="4" s="1"/>
  <c r="CG4" i="4"/>
  <c r="CF4" i="4"/>
  <c r="CF7" i="4" s="1"/>
  <c r="CE4" i="4"/>
  <c r="CD4" i="4"/>
  <c r="CD10" i="4" s="1"/>
  <c r="CC4" i="4"/>
  <c r="CB4" i="4"/>
  <c r="CB7" i="4" s="1"/>
  <c r="CA4" i="4"/>
  <c r="CA8" i="4" s="1"/>
  <c r="BZ4" i="4"/>
  <c r="BZ10" i="4" s="1"/>
  <c r="BY4" i="4"/>
  <c r="BX4" i="4"/>
  <c r="BX7" i="4" s="1"/>
  <c r="BW4" i="4"/>
  <c r="BW7" i="4" s="1"/>
  <c r="BV4" i="4"/>
  <c r="BV10" i="4" s="1"/>
  <c r="BU4" i="4"/>
  <c r="BT4" i="4"/>
  <c r="BT7" i="4" s="1"/>
  <c r="BS4" i="4"/>
  <c r="BS7" i="4" s="1"/>
  <c r="BR4" i="4"/>
  <c r="BR10" i="4" s="1"/>
  <c r="BQ4" i="4"/>
  <c r="BP4" i="4"/>
  <c r="BP7" i="4" s="1"/>
  <c r="BO4" i="4"/>
  <c r="BN4" i="4"/>
  <c r="BN10" i="4" s="1"/>
  <c r="BM4" i="4"/>
  <c r="BL4" i="4"/>
  <c r="BL7" i="4" s="1"/>
  <c r="BK4" i="4"/>
  <c r="BK8" i="4" s="1"/>
  <c r="BJ4" i="4"/>
  <c r="BJ10" i="4" s="1"/>
  <c r="BI4" i="4"/>
  <c r="BH4" i="4"/>
  <c r="BH7" i="4" s="1"/>
  <c r="BG4" i="4"/>
  <c r="BG7" i="4" s="1"/>
  <c r="BF4" i="4"/>
  <c r="BF10" i="4" s="1"/>
  <c r="BE4" i="4"/>
  <c r="BD4" i="4"/>
  <c r="BD7" i="4" s="1"/>
  <c r="BC4" i="4"/>
  <c r="BC7" i="4" s="1"/>
  <c r="BB4" i="4"/>
  <c r="BB10" i="4" s="1"/>
  <c r="BA4" i="4"/>
  <c r="AZ4" i="4"/>
  <c r="AZ7" i="4" s="1"/>
  <c r="AY4" i="4"/>
  <c r="AX4" i="4"/>
  <c r="AX10" i="4" s="1"/>
  <c r="AW4" i="4"/>
  <c r="AV4" i="4"/>
  <c r="AV7" i="4" s="1"/>
  <c r="AU4" i="4"/>
  <c r="AU8" i="4" s="1"/>
  <c r="AT4" i="4"/>
  <c r="AT10" i="4" s="1"/>
  <c r="AS4" i="4"/>
  <c r="AR4" i="4"/>
  <c r="AR7" i="4" s="1"/>
  <c r="AQ4" i="4"/>
  <c r="AQ7" i="4" s="1"/>
  <c r="AP4" i="4"/>
  <c r="AP10" i="4" s="1"/>
  <c r="AO4" i="4"/>
  <c r="AN4" i="4"/>
  <c r="AN7" i="4" s="1"/>
  <c r="AM4" i="4"/>
  <c r="AM7" i="4" s="1"/>
  <c r="AL4" i="4"/>
  <c r="AL10" i="4" s="1"/>
  <c r="AK4" i="4"/>
  <c r="AJ4" i="4"/>
  <c r="AJ7" i="4" s="1"/>
  <c r="AI4" i="4"/>
  <c r="AH4" i="4"/>
  <c r="AH10" i="4" s="1"/>
  <c r="AG4" i="4"/>
  <c r="AF4" i="4"/>
  <c r="AF7" i="4" s="1"/>
  <c r="AE4" i="4"/>
  <c r="AE8" i="4" s="1"/>
  <c r="AD4" i="4"/>
  <c r="AD10" i="4" s="1"/>
  <c r="AC4" i="4"/>
  <c r="AB4" i="4"/>
  <c r="AB7" i="4" s="1"/>
  <c r="AA4" i="4"/>
  <c r="AA7" i="4" s="1"/>
  <c r="Z4" i="4"/>
  <c r="Z10" i="4" s="1"/>
  <c r="Y4" i="4"/>
  <c r="X4" i="4"/>
  <c r="X7" i="4" s="1"/>
  <c r="W4" i="4"/>
  <c r="W7" i="4" s="1"/>
  <c r="V4" i="4"/>
  <c r="V10" i="4" s="1"/>
  <c r="U4" i="4"/>
  <c r="T4" i="4"/>
  <c r="T7" i="4" s="1"/>
  <c r="S4" i="4"/>
  <c r="R4" i="4"/>
  <c r="R10" i="4" s="1"/>
  <c r="Q4" i="4"/>
  <c r="P4" i="4"/>
  <c r="P7" i="4" s="1"/>
  <c r="O4" i="4"/>
  <c r="O8" i="4" s="1"/>
  <c r="N4" i="4"/>
  <c r="N10" i="4" s="1"/>
  <c r="M4" i="4"/>
  <c r="L4" i="4"/>
  <c r="L7" i="4" s="1"/>
  <c r="K4" i="4"/>
  <c r="K7" i="4" s="1"/>
  <c r="J4" i="4"/>
  <c r="J10" i="4" s="1"/>
  <c r="I4" i="4"/>
  <c r="H4" i="4"/>
  <c r="H7" i="4" s="1"/>
  <c r="G4" i="4"/>
  <c r="G7" i="4" s="1"/>
  <c r="F4" i="4"/>
  <c r="F10" i="4" s="1"/>
  <c r="E4" i="4"/>
  <c r="E7" i="4" s="1"/>
  <c r="D4" i="4"/>
  <c r="D7" i="4" s="1"/>
  <c r="B1" i="4"/>
  <c r="IU52" i="4"/>
  <c r="IT52" i="4"/>
  <c r="IS52" i="4"/>
  <c r="IQ52" i="4"/>
  <c r="IP52" i="4"/>
  <c r="IO52" i="4"/>
  <c r="IM52" i="4"/>
  <c r="IL52" i="4"/>
  <c r="IK52" i="4"/>
  <c r="II52" i="4"/>
  <c r="IH52" i="4"/>
  <c r="IG52" i="4"/>
  <c r="IE52" i="4"/>
  <c r="ID52" i="4"/>
  <c r="IC52" i="4"/>
  <c r="IA52" i="4"/>
  <c r="HZ52" i="4"/>
  <c r="HY52" i="4"/>
  <c r="HW52" i="4"/>
  <c r="HV52" i="4"/>
  <c r="HU52" i="4"/>
  <c r="HS52" i="4"/>
  <c r="HR52" i="4"/>
  <c r="HQ52" i="4"/>
  <c r="HO52" i="4"/>
  <c r="HN52" i="4"/>
  <c r="HM52" i="4"/>
  <c r="HK52" i="4"/>
  <c r="HJ52" i="4"/>
  <c r="HI52" i="4"/>
  <c r="HG52" i="4"/>
  <c r="HF52" i="4"/>
  <c r="HE52" i="4"/>
  <c r="HC52" i="4"/>
  <c r="HB52" i="4"/>
  <c r="HA52" i="4"/>
  <c r="GY52" i="4"/>
  <c r="GX52" i="4"/>
  <c r="GW52" i="4"/>
  <c r="GU52" i="4"/>
  <c r="GT52" i="4"/>
  <c r="GS52" i="4"/>
  <c r="GQ52" i="4"/>
  <c r="GP52" i="4"/>
  <c r="GO52" i="4"/>
  <c r="GM52" i="4"/>
  <c r="GL52" i="4"/>
  <c r="GK52" i="4"/>
  <c r="GI52" i="4"/>
  <c r="GH52" i="4"/>
  <c r="GG52" i="4"/>
  <c r="GE52" i="4"/>
  <c r="GD52" i="4"/>
  <c r="GC52" i="4"/>
  <c r="GA52" i="4"/>
  <c r="FZ52" i="4"/>
  <c r="FY52" i="4"/>
  <c r="FW52" i="4"/>
  <c r="FV52" i="4"/>
  <c r="FU52" i="4"/>
  <c r="FS52" i="4"/>
  <c r="FR52" i="4"/>
  <c r="FQ52" i="4"/>
  <c r="FO52" i="4"/>
  <c r="FN52" i="4"/>
  <c r="FM52" i="4"/>
  <c r="FK52" i="4"/>
  <c r="FJ52" i="4"/>
  <c r="FI52" i="4"/>
  <c r="FG52" i="4"/>
  <c r="FF52" i="4"/>
  <c r="FE52" i="4"/>
  <c r="FC52" i="4"/>
  <c r="FB52" i="4"/>
  <c r="FA52" i="4"/>
  <c r="EY52" i="4"/>
  <c r="EX52" i="4"/>
  <c r="EW52" i="4"/>
  <c r="EU52" i="4"/>
  <c r="ET52" i="4"/>
  <c r="ES52" i="4"/>
  <c r="EQ52" i="4"/>
  <c r="EP52" i="4"/>
  <c r="EO52" i="4"/>
  <c r="EM52" i="4"/>
  <c r="EL52" i="4"/>
  <c r="EK52" i="4"/>
  <c r="EI52" i="4"/>
  <c r="EH52" i="4"/>
  <c r="EG52" i="4"/>
  <c r="EE52" i="4"/>
  <c r="ED52" i="4"/>
  <c r="EC52" i="4"/>
  <c r="EA52" i="4"/>
  <c r="DZ52" i="4"/>
  <c r="DY52" i="4"/>
  <c r="DW52" i="4"/>
  <c r="DV52" i="4"/>
  <c r="DU52" i="4"/>
  <c r="DS52" i="4"/>
  <c r="DR52" i="4"/>
  <c r="DQ52" i="4"/>
  <c r="DO52" i="4"/>
  <c r="DN52" i="4"/>
  <c r="DM52" i="4"/>
  <c r="DK52" i="4"/>
  <c r="DJ52" i="4"/>
  <c r="DI52" i="4"/>
  <c r="DG52" i="4"/>
  <c r="DF52" i="4"/>
  <c r="DE52" i="4"/>
  <c r="DC52" i="4"/>
  <c r="DB52" i="4"/>
  <c r="DA52" i="4"/>
  <c r="CY52" i="4"/>
  <c r="CX52" i="4"/>
  <c r="CW52" i="4"/>
  <c r="CU52" i="4"/>
  <c r="CT52" i="4"/>
  <c r="CS52" i="4"/>
  <c r="CQ52" i="4"/>
  <c r="CP52" i="4"/>
  <c r="CO52" i="4"/>
  <c r="CM52" i="4"/>
  <c r="CL52" i="4"/>
  <c r="CK52" i="4"/>
  <c r="CI52" i="4"/>
  <c r="CH52" i="4"/>
  <c r="CG52" i="4"/>
  <c r="CE52" i="4"/>
  <c r="CD52" i="4"/>
  <c r="CC52" i="4"/>
  <c r="CA52" i="4"/>
  <c r="BZ52" i="4"/>
  <c r="BY52" i="4"/>
  <c r="BW52" i="4"/>
  <c r="BV52" i="4"/>
  <c r="BU52" i="4"/>
  <c r="BS52" i="4"/>
  <c r="BR52" i="4"/>
  <c r="BQ52" i="4"/>
  <c r="BO52" i="4"/>
  <c r="BN52" i="4"/>
  <c r="BM52" i="4"/>
  <c r="BK52" i="4"/>
  <c r="BJ52" i="4"/>
  <c r="BI52" i="4"/>
  <c r="BG52" i="4"/>
  <c r="BF52" i="4"/>
  <c r="BE52" i="4"/>
  <c r="BC52" i="4"/>
  <c r="BB52" i="4"/>
  <c r="BA52" i="4"/>
  <c r="AY52" i="4"/>
  <c r="AX52" i="4"/>
  <c r="AW52" i="4"/>
  <c r="AU52" i="4"/>
  <c r="AT52" i="4"/>
  <c r="AS52" i="4"/>
  <c r="AQ52" i="4"/>
  <c r="AP52" i="4"/>
  <c r="AO52" i="4"/>
  <c r="AM52" i="4"/>
  <c r="AL52" i="4"/>
  <c r="AK52" i="4"/>
  <c r="AI52" i="4"/>
  <c r="AH52" i="4"/>
  <c r="AG52" i="4"/>
  <c r="AE52" i="4"/>
  <c r="AD52" i="4"/>
  <c r="AC52" i="4"/>
  <c r="AA52" i="4"/>
  <c r="Z52" i="4"/>
  <c r="Y52" i="4"/>
  <c r="W52" i="4"/>
  <c r="V52" i="4"/>
  <c r="U52" i="4"/>
  <c r="S52" i="4"/>
  <c r="R52" i="4"/>
  <c r="Q52" i="4"/>
  <c r="O52" i="4"/>
  <c r="N52" i="4"/>
  <c r="M52" i="4"/>
  <c r="K52" i="4"/>
  <c r="J52" i="4"/>
  <c r="I52" i="4"/>
  <c r="G52" i="4"/>
  <c r="F52" i="4"/>
  <c r="E52" i="4"/>
  <c r="IV50" i="4"/>
  <c r="IU50" i="4"/>
  <c r="IT50" i="4"/>
  <c r="IS50" i="4"/>
  <c r="IR50" i="4"/>
  <c r="IQ50" i="4"/>
  <c r="IP50" i="4"/>
  <c r="IO50" i="4"/>
  <c r="IN50" i="4"/>
  <c r="IM50" i="4"/>
  <c r="IL50" i="4"/>
  <c r="IK50" i="4"/>
  <c r="IJ50" i="4"/>
  <c r="II50" i="4"/>
  <c r="IH50" i="4"/>
  <c r="IG50" i="4"/>
  <c r="IF50" i="4"/>
  <c r="IE50" i="4"/>
  <c r="ID50" i="4"/>
  <c r="IC50" i="4"/>
  <c r="IB50" i="4"/>
  <c r="IA50" i="4"/>
  <c r="HZ50" i="4"/>
  <c r="HY50" i="4"/>
  <c r="HX50" i="4"/>
  <c r="HW50" i="4"/>
  <c r="HV50" i="4"/>
  <c r="HU50" i="4"/>
  <c r="HT50" i="4"/>
  <c r="HS50" i="4"/>
  <c r="HR50" i="4"/>
  <c r="HQ50" i="4"/>
  <c r="HP50" i="4"/>
  <c r="HO50" i="4"/>
  <c r="HN50" i="4"/>
  <c r="HM50" i="4"/>
  <c r="HL50" i="4"/>
  <c r="HK50" i="4"/>
  <c r="HJ50" i="4"/>
  <c r="HI50" i="4"/>
  <c r="HH50" i="4"/>
  <c r="HG50" i="4"/>
  <c r="HF50" i="4"/>
  <c r="HE50" i="4"/>
  <c r="HD50" i="4"/>
  <c r="HC50" i="4"/>
  <c r="HB50" i="4"/>
  <c r="HA50" i="4"/>
  <c r="GZ50" i="4"/>
  <c r="GY50" i="4"/>
  <c r="GX50" i="4"/>
  <c r="GW50" i="4"/>
  <c r="GV50" i="4"/>
  <c r="GU50" i="4"/>
  <c r="GT50" i="4"/>
  <c r="GS50" i="4"/>
  <c r="GR50" i="4"/>
  <c r="GQ50" i="4"/>
  <c r="GP50" i="4"/>
  <c r="GO50" i="4"/>
  <c r="GN50" i="4"/>
  <c r="GM50" i="4"/>
  <c r="GL50" i="4"/>
  <c r="GK50" i="4"/>
  <c r="GJ50" i="4"/>
  <c r="GI50" i="4"/>
  <c r="GH50" i="4"/>
  <c r="GG50" i="4"/>
  <c r="GF50" i="4"/>
  <c r="GE50" i="4"/>
  <c r="GD50" i="4"/>
  <c r="GC50" i="4"/>
  <c r="GB50" i="4"/>
  <c r="GA50" i="4"/>
  <c r="FZ50" i="4"/>
  <c r="FY50" i="4"/>
  <c r="FX50" i="4"/>
  <c r="FW50" i="4"/>
  <c r="FV50" i="4"/>
  <c r="FU50" i="4"/>
  <c r="FT50" i="4"/>
  <c r="FS50" i="4"/>
  <c r="FR50" i="4"/>
  <c r="FQ50" i="4"/>
  <c r="FP50" i="4"/>
  <c r="FO50" i="4"/>
  <c r="FN50" i="4"/>
  <c r="FM50" i="4"/>
  <c r="FL50" i="4"/>
  <c r="FK50" i="4"/>
  <c r="FJ50" i="4"/>
  <c r="FI50" i="4"/>
  <c r="FH50" i="4"/>
  <c r="FG50" i="4"/>
  <c r="FF50" i="4"/>
  <c r="FE50" i="4"/>
  <c r="FD50" i="4"/>
  <c r="FC50" i="4"/>
  <c r="FB50" i="4"/>
  <c r="FA50" i="4"/>
  <c r="EZ50" i="4"/>
  <c r="EY50" i="4"/>
  <c r="EX50" i="4"/>
  <c r="EW50" i="4"/>
  <c r="EV50" i="4"/>
  <c r="EU50" i="4"/>
  <c r="ET50" i="4"/>
  <c r="ES50" i="4"/>
  <c r="ER50" i="4"/>
  <c r="EQ50" i="4"/>
  <c r="EP50" i="4"/>
  <c r="EO50" i="4"/>
  <c r="EN50" i="4"/>
  <c r="EM50" i="4"/>
  <c r="EL50" i="4"/>
  <c r="EK50" i="4"/>
  <c r="EJ50" i="4"/>
  <c r="EI50" i="4"/>
  <c r="EH50" i="4"/>
  <c r="EG50" i="4"/>
  <c r="EF50" i="4"/>
  <c r="EE50" i="4"/>
  <c r="ED50" i="4"/>
  <c r="EC50" i="4"/>
  <c r="EB50" i="4"/>
  <c r="EA50" i="4"/>
  <c r="DZ50" i="4"/>
  <c r="DY50" i="4"/>
  <c r="DX50" i="4"/>
  <c r="DW50" i="4"/>
  <c r="DV50" i="4"/>
  <c r="DU50" i="4"/>
  <c r="DT50" i="4"/>
  <c r="DS50" i="4"/>
  <c r="DR50" i="4"/>
  <c r="DQ50" i="4"/>
  <c r="DP50" i="4"/>
  <c r="DO50" i="4"/>
  <c r="DN50" i="4"/>
  <c r="DM50" i="4"/>
  <c r="DL50" i="4"/>
  <c r="DK50" i="4"/>
  <c r="DJ50" i="4"/>
  <c r="DI50" i="4"/>
  <c r="DH50" i="4"/>
  <c r="DG50" i="4"/>
  <c r="DF50" i="4"/>
  <c r="DE50" i="4"/>
  <c r="DD50" i="4"/>
  <c r="DC50" i="4"/>
  <c r="DB50" i="4"/>
  <c r="DA50" i="4"/>
  <c r="CZ50" i="4"/>
  <c r="CY50" i="4"/>
  <c r="CX50" i="4"/>
  <c r="CW50" i="4"/>
  <c r="CV50" i="4"/>
  <c r="CU50" i="4"/>
  <c r="CT50" i="4"/>
  <c r="CS50" i="4"/>
  <c r="CR50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A41" i="4"/>
  <c r="A32" i="4"/>
  <c r="A23" i="4"/>
  <c r="IV5" i="4"/>
  <c r="IU5" i="4"/>
  <c r="IT5" i="4"/>
  <c r="IR5" i="4"/>
  <c r="IQ5" i="4"/>
  <c r="IP5" i="4"/>
  <c r="IN5" i="4"/>
  <c r="IM5" i="4"/>
  <c r="IL5" i="4"/>
  <c r="IJ5" i="4"/>
  <c r="II5" i="4"/>
  <c r="IH5" i="4"/>
  <c r="IF5" i="4"/>
  <c r="IE5" i="4"/>
  <c r="ID5" i="4"/>
  <c r="IB5" i="4"/>
  <c r="IA5" i="4"/>
  <c r="HZ5" i="4"/>
  <c r="HX5" i="4"/>
  <c r="HW5" i="4"/>
  <c r="HV5" i="4"/>
  <c r="HT5" i="4"/>
  <c r="HS5" i="4"/>
  <c r="HR5" i="4"/>
  <c r="HP5" i="4"/>
  <c r="HO5" i="4"/>
  <c r="HN5" i="4"/>
  <c r="HL5" i="4"/>
  <c r="HK5" i="4"/>
  <c r="HJ5" i="4"/>
  <c r="HH5" i="4"/>
  <c r="HG5" i="4"/>
  <c r="HF5" i="4"/>
  <c r="HD5" i="4"/>
  <c r="HC5" i="4"/>
  <c r="HB5" i="4"/>
  <c r="GZ5" i="4"/>
  <c r="GY5" i="4"/>
  <c r="GX5" i="4"/>
  <c r="GV5" i="4"/>
  <c r="GU5" i="4"/>
  <c r="GT5" i="4"/>
  <c r="GR5" i="4"/>
  <c r="GQ5" i="4"/>
  <c r="GP5" i="4"/>
  <c r="GN5" i="4"/>
  <c r="GM5" i="4"/>
  <c r="GL5" i="4"/>
  <c r="GJ5" i="4"/>
  <c r="GI5" i="4"/>
  <c r="GH5" i="4"/>
  <c r="GF5" i="4"/>
  <c r="GE5" i="4"/>
  <c r="GD5" i="4"/>
  <c r="GB5" i="4"/>
  <c r="GA5" i="4"/>
  <c r="FZ5" i="4"/>
  <c r="FX5" i="4"/>
  <c r="FW5" i="4"/>
  <c r="FV5" i="4"/>
  <c r="FT5" i="4"/>
  <c r="FS5" i="4"/>
  <c r="FR5" i="4"/>
  <c r="FP5" i="4"/>
  <c r="FO5" i="4"/>
  <c r="FN5" i="4"/>
  <c r="FL5" i="4"/>
  <c r="FK5" i="4"/>
  <c r="FJ5" i="4"/>
  <c r="FH5" i="4"/>
  <c r="FG5" i="4"/>
  <c r="FF5" i="4"/>
  <c r="FD5" i="4"/>
  <c r="FC5" i="4"/>
  <c r="FB5" i="4"/>
  <c r="EZ5" i="4"/>
  <c r="EY5" i="4"/>
  <c r="EX5" i="4"/>
  <c r="EV5" i="4"/>
  <c r="EU5" i="4"/>
  <c r="ET5" i="4"/>
  <c r="ER5" i="4"/>
  <c r="EQ5" i="4"/>
  <c r="EP5" i="4"/>
  <c r="EN5" i="4"/>
  <c r="EM5" i="4"/>
  <c r="EL5" i="4"/>
  <c r="EJ5" i="4"/>
  <c r="EI5" i="4"/>
  <c r="EH5" i="4"/>
  <c r="EF5" i="4"/>
  <c r="EE5" i="4"/>
  <c r="ED5" i="4"/>
  <c r="EB5" i="4"/>
  <c r="EA5" i="4"/>
  <c r="DZ5" i="4"/>
  <c r="DX5" i="4"/>
  <c r="DW5" i="4"/>
  <c r="DV5" i="4"/>
  <c r="DT5" i="4"/>
  <c r="DS5" i="4"/>
  <c r="DR5" i="4"/>
  <c r="DP5" i="4"/>
  <c r="DO5" i="4"/>
  <c r="DN5" i="4"/>
  <c r="DL5" i="4"/>
  <c r="DK5" i="4"/>
  <c r="DJ5" i="4"/>
  <c r="DH5" i="4"/>
  <c r="DG5" i="4"/>
  <c r="DF5" i="4"/>
  <c r="DD5" i="4"/>
  <c r="DC5" i="4"/>
  <c r="DB5" i="4"/>
  <c r="CZ5" i="4"/>
  <c r="CY5" i="4"/>
  <c r="CX5" i="4"/>
  <c r="CV5" i="4"/>
  <c r="CU5" i="4"/>
  <c r="CT5" i="4"/>
  <c r="CR5" i="4"/>
  <c r="CQ5" i="4"/>
  <c r="CP5" i="4"/>
  <c r="CN5" i="4"/>
  <c r="CM5" i="4"/>
  <c r="CL5" i="4"/>
  <c r="CJ5" i="4"/>
  <c r="CI5" i="4"/>
  <c r="CH5" i="4"/>
  <c r="CF5" i="4"/>
  <c r="CE5" i="4"/>
  <c r="CD5" i="4"/>
  <c r="CB5" i="4"/>
  <c r="CA5" i="4"/>
  <c r="BZ5" i="4"/>
  <c r="BX5" i="4"/>
  <c r="BW5" i="4"/>
  <c r="BV5" i="4"/>
  <c r="BT5" i="4"/>
  <c r="BS5" i="4"/>
  <c r="BR5" i="4"/>
  <c r="BP5" i="4"/>
  <c r="BO5" i="4"/>
  <c r="BN5" i="4"/>
  <c r="BL5" i="4"/>
  <c r="BK5" i="4"/>
  <c r="BJ5" i="4"/>
  <c r="BH5" i="4"/>
  <c r="BG5" i="4"/>
  <c r="BF5" i="4"/>
  <c r="BD5" i="4"/>
  <c r="BC5" i="4"/>
  <c r="BB5" i="4"/>
  <c r="AZ5" i="4"/>
  <c r="AY5" i="4"/>
  <c r="AX5" i="4"/>
  <c r="AV5" i="4"/>
  <c r="AU5" i="4"/>
  <c r="AT5" i="4"/>
  <c r="AR5" i="4"/>
  <c r="AQ5" i="4"/>
  <c r="AP5" i="4"/>
  <c r="AN5" i="4"/>
  <c r="AM5" i="4"/>
  <c r="AL5" i="4"/>
  <c r="AJ5" i="4"/>
  <c r="AI5" i="4"/>
  <c r="AH5" i="4"/>
  <c r="AF5" i="4"/>
  <c r="AE5" i="4"/>
  <c r="AD5" i="4"/>
  <c r="AB5" i="4"/>
  <c r="AA5" i="4"/>
  <c r="Z5" i="4"/>
  <c r="X5" i="4"/>
  <c r="W5" i="4"/>
  <c r="V5" i="4"/>
  <c r="T5" i="4"/>
  <c r="S5" i="4"/>
  <c r="R5" i="4"/>
  <c r="P5" i="4"/>
  <c r="O5" i="4"/>
  <c r="N5" i="4"/>
  <c r="L5" i="4"/>
  <c r="K5" i="4"/>
  <c r="J5" i="4"/>
  <c r="H5" i="4"/>
  <c r="G5" i="4"/>
  <c r="F5" i="4"/>
  <c r="D5" i="4"/>
  <c r="A4" i="4"/>
  <c r="FR10" i="4" l="1"/>
  <c r="FR8" i="4"/>
  <c r="FZ10" i="4"/>
  <c r="FZ8" i="4"/>
  <c r="GH10" i="4"/>
  <c r="GH8" i="4"/>
  <c r="GP10" i="4"/>
  <c r="GP8" i="4"/>
  <c r="GX10" i="4"/>
  <c r="GX8" i="4"/>
  <c r="HF10" i="4"/>
  <c r="HF8" i="4"/>
  <c r="HN10" i="4"/>
  <c r="HN8" i="4"/>
  <c r="HV10" i="4"/>
  <c r="HV8" i="4"/>
  <c r="ID10" i="4"/>
  <c r="ID8" i="4"/>
  <c r="IL10" i="4"/>
  <c r="IL8" i="4"/>
  <c r="IT10" i="4"/>
  <c r="IT8" i="4"/>
  <c r="F6" i="4"/>
  <c r="N6" i="4"/>
  <c r="V6" i="4"/>
  <c r="AD6" i="4"/>
  <c r="AL6" i="4"/>
  <c r="AT6" i="4"/>
  <c r="BB6" i="4"/>
  <c r="BJ6" i="4"/>
  <c r="BR6" i="4"/>
  <c r="BZ6" i="4"/>
  <c r="CH6" i="4"/>
  <c r="CP6" i="4"/>
  <c r="CX6" i="4"/>
  <c r="DF6" i="4"/>
  <c r="DN6" i="4"/>
  <c r="DV6" i="4"/>
  <c r="ED6" i="4"/>
  <c r="EL6" i="4"/>
  <c r="ET6" i="4"/>
  <c r="FB6" i="4"/>
  <c r="FJ6" i="4"/>
  <c r="FR6" i="4"/>
  <c r="FZ6" i="4"/>
  <c r="GH6" i="4"/>
  <c r="GP6" i="4"/>
  <c r="GX6" i="4"/>
  <c r="HF6" i="4"/>
  <c r="HN6" i="4"/>
  <c r="HV6" i="4"/>
  <c r="ID6" i="4"/>
  <c r="IL6" i="4"/>
  <c r="IT6" i="4"/>
  <c r="G8" i="4"/>
  <c r="W8" i="4"/>
  <c r="AM8" i="4"/>
  <c r="BC8" i="4"/>
  <c r="BS8" i="4"/>
  <c r="CI8" i="4"/>
  <c r="CY8" i="4"/>
  <c r="DO8" i="4"/>
  <c r="EE8" i="4"/>
  <c r="EU8" i="4"/>
  <c r="FK8" i="4"/>
  <c r="FV8" i="4"/>
  <c r="GE8" i="4"/>
  <c r="GQ8" i="4"/>
  <c r="HB8" i="4"/>
  <c r="HK8" i="4"/>
  <c r="HW8" i="4"/>
  <c r="IH8" i="4"/>
  <c r="IQ8" i="4"/>
  <c r="G10" i="4"/>
  <c r="AM10" i="4"/>
  <c r="BS10" i="4"/>
  <c r="CY10" i="4"/>
  <c r="EE10" i="4"/>
  <c r="FK10" i="4"/>
  <c r="GQ10" i="4"/>
  <c r="HW10" i="4"/>
  <c r="O7" i="4"/>
  <c r="O10" i="4"/>
  <c r="S7" i="4"/>
  <c r="S10" i="4"/>
  <c r="AE7" i="4"/>
  <c r="AE10" i="4"/>
  <c r="AI7" i="4"/>
  <c r="AI10" i="4"/>
  <c r="AU7" i="4"/>
  <c r="AU10" i="4"/>
  <c r="AY7" i="4"/>
  <c r="AY10" i="4"/>
  <c r="BK7" i="4"/>
  <c r="BK10" i="4"/>
  <c r="BO7" i="4"/>
  <c r="BO10" i="4"/>
  <c r="CA7" i="4"/>
  <c r="CA10" i="4"/>
  <c r="CE7" i="4"/>
  <c r="CE10" i="4"/>
  <c r="CQ7" i="4"/>
  <c r="CQ10" i="4"/>
  <c r="CU7" i="4"/>
  <c r="CU10" i="4"/>
  <c r="DG7" i="4"/>
  <c r="DG10" i="4"/>
  <c r="DK7" i="4"/>
  <c r="DK10" i="4"/>
  <c r="DW7" i="4"/>
  <c r="DW10" i="4"/>
  <c r="EA7" i="4"/>
  <c r="EA10" i="4"/>
  <c r="EM7" i="4"/>
  <c r="EM10" i="4"/>
  <c r="EQ7" i="4"/>
  <c r="EQ10" i="4"/>
  <c r="FC7" i="4"/>
  <c r="FC10" i="4"/>
  <c r="FG7" i="4"/>
  <c r="FG10" i="4"/>
  <c r="FS7" i="4"/>
  <c r="FS10" i="4"/>
  <c r="FW7" i="4"/>
  <c r="FW10" i="4"/>
  <c r="GI7" i="4"/>
  <c r="GI10" i="4"/>
  <c r="GM7" i="4"/>
  <c r="GM10" i="4"/>
  <c r="GY7" i="4"/>
  <c r="GY10" i="4"/>
  <c r="HC7" i="4"/>
  <c r="HC10" i="4"/>
  <c r="HO7" i="4"/>
  <c r="HO10" i="4"/>
  <c r="HS7" i="4"/>
  <c r="HS10" i="4"/>
  <c r="IE7" i="4"/>
  <c r="IE10" i="4"/>
  <c r="II7" i="4"/>
  <c r="II10" i="4"/>
  <c r="IU7" i="4"/>
  <c r="IU10" i="4"/>
  <c r="G6" i="4"/>
  <c r="O6" i="4"/>
  <c r="W6" i="4"/>
  <c r="AE6" i="4"/>
  <c r="AM6" i="4"/>
  <c r="AU6" i="4"/>
  <c r="BC6" i="4"/>
  <c r="BK6" i="4"/>
  <c r="BS6" i="4"/>
  <c r="CA6" i="4"/>
  <c r="CI6" i="4"/>
  <c r="CQ6" i="4"/>
  <c r="CY6" i="4"/>
  <c r="DG6" i="4"/>
  <c r="DO6" i="4"/>
  <c r="DW6" i="4"/>
  <c r="EE6" i="4"/>
  <c r="EM6" i="4"/>
  <c r="EU6" i="4"/>
  <c r="FC6" i="4"/>
  <c r="FK6" i="4"/>
  <c r="FS6" i="4"/>
  <c r="GA6" i="4"/>
  <c r="GI6" i="4"/>
  <c r="GQ6" i="4"/>
  <c r="GY6" i="4"/>
  <c r="HG6" i="4"/>
  <c r="HO6" i="4"/>
  <c r="HW6" i="4"/>
  <c r="IE6" i="4"/>
  <c r="IM6" i="4"/>
  <c r="IU6" i="4"/>
  <c r="J8" i="4"/>
  <c r="R8" i="4"/>
  <c r="Z8" i="4"/>
  <c r="AH8" i="4"/>
  <c r="AP8" i="4"/>
  <c r="AX8" i="4"/>
  <c r="BF8" i="4"/>
  <c r="BN8" i="4"/>
  <c r="BV8" i="4"/>
  <c r="CD8" i="4"/>
  <c r="CL8" i="4"/>
  <c r="CT8" i="4"/>
  <c r="DB8" i="4"/>
  <c r="DJ8" i="4"/>
  <c r="DR8" i="4"/>
  <c r="DZ8" i="4"/>
  <c r="EH8" i="4"/>
  <c r="EP8" i="4"/>
  <c r="EX8" i="4"/>
  <c r="FF8" i="4"/>
  <c r="FW8" i="4"/>
  <c r="GI8" i="4"/>
  <c r="HC8" i="4"/>
  <c r="HO8" i="4"/>
  <c r="II8" i="4"/>
  <c r="IU8" i="4"/>
  <c r="K10" i="4"/>
  <c r="AQ10" i="4"/>
  <c r="BW10" i="4"/>
  <c r="DC10" i="4"/>
  <c r="EI10" i="4"/>
  <c r="FO10" i="4"/>
  <c r="GU10" i="4"/>
  <c r="IA10" i="4"/>
  <c r="H26" i="4"/>
  <c r="H28" i="4"/>
  <c r="X26" i="4"/>
  <c r="X28" i="4"/>
  <c r="AN26" i="4"/>
  <c r="AN28" i="4"/>
  <c r="BD26" i="4"/>
  <c r="BD28" i="4"/>
  <c r="CJ26" i="4"/>
  <c r="CJ28" i="4"/>
  <c r="K8" i="4"/>
  <c r="S8" i="4"/>
  <c r="AA8" i="4"/>
  <c r="AI8" i="4"/>
  <c r="AQ8" i="4"/>
  <c r="AY8" i="4"/>
  <c r="BG8" i="4"/>
  <c r="BO8" i="4"/>
  <c r="W10" i="4"/>
  <c r="BC10" i="4"/>
  <c r="CI10" i="4"/>
  <c r="DO10" i="4"/>
  <c r="EU10" i="4"/>
  <c r="GA10" i="4"/>
  <c r="HG10" i="4"/>
  <c r="IM10" i="4"/>
  <c r="N28" i="4"/>
  <c r="N27" i="4"/>
  <c r="AT28" i="4"/>
  <c r="AT27" i="4"/>
  <c r="BF28" i="4"/>
  <c r="BZ28" i="4"/>
  <c r="BZ27" i="4"/>
  <c r="DF28" i="4"/>
  <c r="DF27" i="4"/>
  <c r="DR28" i="4"/>
  <c r="EL28" i="4"/>
  <c r="EL27" i="4"/>
  <c r="FZ28" i="4"/>
  <c r="FZ27" i="4"/>
  <c r="GD28" i="4"/>
  <c r="F24" i="4"/>
  <c r="N24" i="4"/>
  <c r="V24" i="4"/>
  <c r="AD24" i="4"/>
  <c r="AL24" i="4"/>
  <c r="AT24" i="4"/>
  <c r="BB24" i="4"/>
  <c r="BJ24" i="4"/>
  <c r="BR24" i="4"/>
  <c r="BZ24" i="4"/>
  <c r="CH24" i="4"/>
  <c r="CP24" i="4"/>
  <c r="CX24" i="4"/>
  <c r="DF24" i="4"/>
  <c r="DN24" i="4"/>
  <c r="DV24" i="4"/>
  <c r="ED24" i="4"/>
  <c r="EL24" i="4"/>
  <c r="ET24" i="4"/>
  <c r="FB24" i="4"/>
  <c r="FJ24" i="4"/>
  <c r="FR24" i="4"/>
  <c r="FZ24" i="4"/>
  <c r="GH24" i="4"/>
  <c r="GP24" i="4"/>
  <c r="GX24" i="4"/>
  <c r="IL24" i="4"/>
  <c r="HD26" i="4"/>
  <c r="IR26" i="4"/>
  <c r="AL27" i="4"/>
  <c r="CH27" i="4"/>
  <c r="DV27" i="4"/>
  <c r="FJ27" i="4"/>
  <c r="FL28" i="4"/>
  <c r="K33" i="4"/>
  <c r="K36" i="4"/>
  <c r="AA36" i="4"/>
  <c r="BG36" i="4"/>
  <c r="G24" i="4"/>
  <c r="O24" i="4"/>
  <c r="W24" i="4"/>
  <c r="AE24" i="4"/>
  <c r="AM24" i="4"/>
  <c r="AU24" i="4"/>
  <c r="BC24" i="4"/>
  <c r="BK24" i="4"/>
  <c r="BS24" i="4"/>
  <c r="CA24" i="4"/>
  <c r="CI24" i="4"/>
  <c r="CQ24" i="4"/>
  <c r="CY24" i="4"/>
  <c r="DG24" i="4"/>
  <c r="DO24" i="4"/>
  <c r="DW24" i="4"/>
  <c r="EE24" i="4"/>
  <c r="EM24" i="4"/>
  <c r="EU24" i="4"/>
  <c r="FC24" i="4"/>
  <c r="FS24" i="4"/>
  <c r="GI24" i="4"/>
  <c r="GY24" i="4"/>
  <c r="O26" i="4"/>
  <c r="AE26" i="4"/>
  <c r="AU26" i="4"/>
  <c r="BK26" i="4"/>
  <c r="CA26" i="4"/>
  <c r="CQ26" i="4"/>
  <c r="DG26" i="4"/>
  <c r="DW26" i="4"/>
  <c r="EM26" i="4"/>
  <c r="FC26" i="4"/>
  <c r="HL26" i="4"/>
  <c r="F27" i="4"/>
  <c r="BB27" i="4"/>
  <c r="CP27" i="4"/>
  <c r="ED27" i="4"/>
  <c r="GP27" i="4"/>
  <c r="CZ28" i="4"/>
  <c r="GR28" i="4"/>
  <c r="DP26" i="4"/>
  <c r="DP28" i="4"/>
  <c r="GB26" i="4"/>
  <c r="GB28" i="4"/>
  <c r="IB28" i="4"/>
  <c r="IB26" i="4"/>
  <c r="IN26" i="4"/>
  <c r="IN28" i="4"/>
  <c r="J24" i="4"/>
  <c r="R24" i="4"/>
  <c r="HT26" i="4"/>
  <c r="V27" i="4"/>
  <c r="BJ27" i="4"/>
  <c r="CX27" i="4"/>
  <c r="EF28" i="4"/>
  <c r="HH28" i="4"/>
  <c r="GS35" i="4"/>
  <c r="GS37" i="4"/>
  <c r="HY35" i="4"/>
  <c r="DS36" i="4"/>
  <c r="GE36" i="4"/>
  <c r="IQ36" i="4"/>
  <c r="J45" i="4"/>
  <c r="Z45" i="4"/>
  <c r="AP45" i="4"/>
  <c r="BF45" i="4"/>
  <c r="BV45" i="4"/>
  <c r="CL45" i="4"/>
  <c r="DB45" i="4"/>
  <c r="DR45" i="4"/>
  <c r="EH45" i="4"/>
  <c r="EX45" i="4"/>
  <c r="FN45" i="4"/>
  <c r="GD45" i="4"/>
  <c r="GT45" i="4"/>
  <c r="HJ45" i="4"/>
  <c r="HZ45" i="4"/>
  <c r="IP45" i="4"/>
  <c r="N33" i="4"/>
  <c r="AT33" i="4"/>
  <c r="BZ33" i="4"/>
  <c r="BW36" i="4"/>
  <c r="EI36" i="4"/>
  <c r="GU36" i="4"/>
  <c r="N45" i="4"/>
  <c r="AD45" i="4"/>
  <c r="AT45" i="4"/>
  <c r="BJ45" i="4"/>
  <c r="BZ45" i="4"/>
  <c r="CP45" i="4"/>
  <c r="DF45" i="4"/>
  <c r="DV45" i="4"/>
  <c r="EL45" i="4"/>
  <c r="FB45" i="4"/>
  <c r="FR45" i="4"/>
  <c r="GH45" i="4"/>
  <c r="GX45" i="4"/>
  <c r="HN45" i="4"/>
  <c r="ID45" i="4"/>
  <c r="IT45" i="4"/>
  <c r="CM36" i="4"/>
  <c r="E10" i="4"/>
  <c r="E8" i="4"/>
  <c r="E6" i="4"/>
  <c r="E5" i="4"/>
  <c r="I10" i="4"/>
  <c r="I8" i="4"/>
  <c r="I6" i="4"/>
  <c r="I5" i="4"/>
  <c r="M10" i="4"/>
  <c r="M8" i="4"/>
  <c r="M6" i="4"/>
  <c r="M5" i="4"/>
  <c r="Q10" i="4"/>
  <c r="Q8" i="4"/>
  <c r="Q6" i="4"/>
  <c r="Q5" i="4"/>
  <c r="Q7" i="4"/>
  <c r="U10" i="4"/>
  <c r="U8" i="4"/>
  <c r="U6" i="4"/>
  <c r="U7" i="4"/>
  <c r="U5" i="4"/>
  <c r="Y7" i="4"/>
  <c r="Y10" i="4"/>
  <c r="Y8" i="4"/>
  <c r="Y6" i="4"/>
  <c r="Y5" i="4"/>
  <c r="AC10" i="4"/>
  <c r="AC8" i="4"/>
  <c r="AC6" i="4"/>
  <c r="AC5" i="4"/>
  <c r="AC7" i="4"/>
  <c r="AK7" i="4"/>
  <c r="AK10" i="4"/>
  <c r="AK8" i="4"/>
  <c r="AK6" i="4"/>
  <c r="AK5" i="4"/>
  <c r="AO10" i="4"/>
  <c r="AO8" i="4"/>
  <c r="AO6" i="4"/>
  <c r="AO5" i="4"/>
  <c r="AO7" i="4"/>
  <c r="AS10" i="4"/>
  <c r="AS8" i="4"/>
  <c r="AS6" i="4"/>
  <c r="AS7" i="4"/>
  <c r="AS5" i="4"/>
  <c r="AW10" i="4"/>
  <c r="AW8" i="4"/>
  <c r="AW6" i="4"/>
  <c r="AW5" i="4"/>
  <c r="AW7" i="4"/>
  <c r="BA10" i="4"/>
  <c r="BA8" i="4"/>
  <c r="BA6" i="4"/>
  <c r="BA7" i="4"/>
  <c r="BA5" i="4"/>
  <c r="BE7" i="4"/>
  <c r="BE10" i="4"/>
  <c r="BE8" i="4"/>
  <c r="BE6" i="4"/>
  <c r="BE5" i="4"/>
  <c r="BI10" i="4"/>
  <c r="BI8" i="4"/>
  <c r="BI6" i="4"/>
  <c r="BI5" i="4"/>
  <c r="BI7" i="4"/>
  <c r="BM10" i="4"/>
  <c r="BM8" i="4"/>
  <c r="BM6" i="4"/>
  <c r="BM5" i="4"/>
  <c r="BM7" i="4"/>
  <c r="BQ7" i="4"/>
  <c r="BQ10" i="4"/>
  <c r="BQ8" i="4"/>
  <c r="BQ6" i="4"/>
  <c r="BQ5" i="4"/>
  <c r="BU10" i="4"/>
  <c r="BU8" i="4"/>
  <c r="BU6" i="4"/>
  <c r="BU5" i="4"/>
  <c r="BU7" i="4"/>
  <c r="BY10" i="4"/>
  <c r="BY8" i="4"/>
  <c r="BY6" i="4"/>
  <c r="BY7" i="4"/>
  <c r="BY5" i="4"/>
  <c r="CC7" i="4"/>
  <c r="CC10" i="4"/>
  <c r="CC8" i="4"/>
  <c r="CC6" i="4"/>
  <c r="CC5" i="4"/>
  <c r="CG10" i="4"/>
  <c r="CG8" i="4"/>
  <c r="CG6" i="4"/>
  <c r="CG5" i="4"/>
  <c r="CG7" i="4"/>
  <c r="CK10" i="4"/>
  <c r="CK8" i="4"/>
  <c r="CK6" i="4"/>
  <c r="CK5" i="4"/>
  <c r="CK7" i="4"/>
  <c r="CO10" i="4"/>
  <c r="CO8" i="4"/>
  <c r="CO6" i="4"/>
  <c r="CO5" i="4"/>
  <c r="CO7" i="4"/>
  <c r="CS7" i="4"/>
  <c r="CS10" i="4"/>
  <c r="CS8" i="4"/>
  <c r="CS6" i="4"/>
  <c r="CS5" i="4"/>
  <c r="CW10" i="4"/>
  <c r="CW8" i="4"/>
  <c r="CW6" i="4"/>
  <c r="CW7" i="4"/>
  <c r="CW5" i="4"/>
  <c r="DA10" i="4"/>
  <c r="DA8" i="4"/>
  <c r="DA6" i="4"/>
  <c r="DA5" i="4"/>
  <c r="DA7" i="4"/>
  <c r="DE7" i="4"/>
  <c r="DE10" i="4"/>
  <c r="DE8" i="4"/>
  <c r="DE6" i="4"/>
  <c r="DE5" i="4"/>
  <c r="DI10" i="4"/>
  <c r="DI8" i="4"/>
  <c r="DI6" i="4"/>
  <c r="DI5" i="4"/>
  <c r="DI7" i="4"/>
  <c r="DM10" i="4"/>
  <c r="DM8" i="4"/>
  <c r="DM6" i="4"/>
  <c r="DM5" i="4"/>
  <c r="DM7" i="4"/>
  <c r="DQ7" i="4"/>
  <c r="DQ10" i="4"/>
  <c r="DQ8" i="4"/>
  <c r="DQ6" i="4"/>
  <c r="DQ5" i="4"/>
  <c r="DU10" i="4"/>
  <c r="DU8" i="4"/>
  <c r="DU6" i="4"/>
  <c r="DU5" i="4"/>
  <c r="DU7" i="4"/>
  <c r="DY10" i="4"/>
  <c r="DY8" i="4"/>
  <c r="DY6" i="4"/>
  <c r="DY5" i="4"/>
  <c r="DY7" i="4"/>
  <c r="EC7" i="4"/>
  <c r="EC10" i="4"/>
  <c r="EC8" i="4"/>
  <c r="EC6" i="4"/>
  <c r="EC5" i="4"/>
  <c r="EG10" i="4"/>
  <c r="EG8" i="4"/>
  <c r="EG6" i="4"/>
  <c r="EG5" i="4"/>
  <c r="EG7" i="4"/>
  <c r="EK10" i="4"/>
  <c r="EK8" i="4"/>
  <c r="EK6" i="4"/>
  <c r="EK7" i="4"/>
  <c r="EK5" i="4"/>
  <c r="EO7" i="4"/>
  <c r="EO10" i="4"/>
  <c r="EO8" i="4"/>
  <c r="EO6" i="4"/>
  <c r="EO5" i="4"/>
  <c r="ES10" i="4"/>
  <c r="ES8" i="4"/>
  <c r="ES6" i="4"/>
  <c r="ES5" i="4"/>
  <c r="ES7" i="4"/>
  <c r="EW10" i="4"/>
  <c r="EW8" i="4"/>
  <c r="EW6" i="4"/>
  <c r="EW5" i="4"/>
  <c r="EW7" i="4"/>
  <c r="FA7" i="4"/>
  <c r="FA10" i="4"/>
  <c r="FA8" i="4"/>
  <c r="FA6" i="4"/>
  <c r="FA5" i="4"/>
  <c r="FE10" i="4"/>
  <c r="FE8" i="4"/>
  <c r="FE6" i="4"/>
  <c r="FE5" i="4"/>
  <c r="FE7" i="4"/>
  <c r="FI10" i="4"/>
  <c r="FI8" i="4"/>
  <c r="FI6" i="4"/>
  <c r="FI7" i="4"/>
  <c r="FI5" i="4"/>
  <c r="FM7" i="4"/>
  <c r="FM10" i="4"/>
  <c r="FM8" i="4"/>
  <c r="FM6" i="4"/>
  <c r="FM5" i="4"/>
  <c r="FQ10" i="4"/>
  <c r="FQ8" i="4"/>
  <c r="FQ6" i="4"/>
  <c r="FQ5" i="4"/>
  <c r="FQ7" i="4"/>
  <c r="FU10" i="4"/>
  <c r="FU8" i="4"/>
  <c r="FU6" i="4"/>
  <c r="FU7" i="4"/>
  <c r="FU5" i="4"/>
  <c r="FY7" i="4"/>
  <c r="FY10" i="4"/>
  <c r="FY8" i="4"/>
  <c r="FY6" i="4"/>
  <c r="FY5" i="4"/>
  <c r="GC10" i="4"/>
  <c r="GC8" i="4"/>
  <c r="GC6" i="4"/>
  <c r="GC5" i="4"/>
  <c r="GC7" i="4"/>
  <c r="GG10" i="4"/>
  <c r="GG8" i="4"/>
  <c r="GG6" i="4"/>
  <c r="GG5" i="4"/>
  <c r="GG7" i="4"/>
  <c r="GK7" i="4"/>
  <c r="GK10" i="4"/>
  <c r="GK8" i="4"/>
  <c r="GK6" i="4"/>
  <c r="GK5" i="4"/>
  <c r="GO10" i="4"/>
  <c r="GO8" i="4"/>
  <c r="GO6" i="4"/>
  <c r="GO5" i="4"/>
  <c r="GO7" i="4"/>
  <c r="GS10" i="4"/>
  <c r="GS8" i="4"/>
  <c r="GS6" i="4"/>
  <c r="GS7" i="4"/>
  <c r="GS5" i="4"/>
  <c r="GW7" i="4"/>
  <c r="GW10" i="4"/>
  <c r="GW8" i="4"/>
  <c r="GW6" i="4"/>
  <c r="GW5" i="4"/>
  <c r="HA10" i="4"/>
  <c r="HA8" i="4"/>
  <c r="HA6" i="4"/>
  <c r="HA5" i="4"/>
  <c r="HA7" i="4"/>
  <c r="HE10" i="4"/>
  <c r="HE8" i="4"/>
  <c r="HE6" i="4"/>
  <c r="HE7" i="4"/>
  <c r="HE5" i="4"/>
  <c r="HI10" i="4"/>
  <c r="HI8" i="4"/>
  <c r="HI6" i="4"/>
  <c r="HI5" i="4"/>
  <c r="HI7" i="4"/>
  <c r="HM7" i="4"/>
  <c r="HM10" i="4"/>
  <c r="HM8" i="4"/>
  <c r="HM6" i="4"/>
  <c r="HM5" i="4"/>
  <c r="HQ10" i="4"/>
  <c r="HQ8" i="4"/>
  <c r="HQ6" i="4"/>
  <c r="HQ7" i="4"/>
  <c r="HQ5" i="4"/>
  <c r="HU10" i="4"/>
  <c r="HU8" i="4"/>
  <c r="HU6" i="4"/>
  <c r="HU5" i="4"/>
  <c r="HU7" i="4"/>
  <c r="HY7" i="4"/>
  <c r="HY10" i="4"/>
  <c r="HY8" i="4"/>
  <c r="HY6" i="4"/>
  <c r="HY5" i="4"/>
  <c r="IC10" i="4"/>
  <c r="IC8" i="4"/>
  <c r="IC6" i="4"/>
  <c r="IC7" i="4"/>
  <c r="IC5" i="4"/>
  <c r="IG10" i="4"/>
  <c r="IG8" i="4"/>
  <c r="IG6" i="4"/>
  <c r="IG5" i="4"/>
  <c r="IG7" i="4"/>
  <c r="IK10" i="4"/>
  <c r="IK8" i="4"/>
  <c r="IK6" i="4"/>
  <c r="IK5" i="4"/>
  <c r="IK7" i="4"/>
  <c r="IO10" i="4"/>
  <c r="IO8" i="4"/>
  <c r="IO6" i="4"/>
  <c r="IO7" i="4"/>
  <c r="IO5" i="4"/>
  <c r="IS10" i="4"/>
  <c r="IS8" i="4"/>
  <c r="IS6" i="4"/>
  <c r="IS5" i="4"/>
  <c r="IS7" i="4"/>
  <c r="I7" i="4"/>
  <c r="AG10" i="4"/>
  <c r="AG8" i="4"/>
  <c r="AG6" i="4"/>
  <c r="AG5" i="4"/>
  <c r="AG7" i="4"/>
  <c r="M7" i="4"/>
  <c r="M27" i="4"/>
  <c r="M28" i="4"/>
  <c r="Y27" i="4"/>
  <c r="Y28" i="4"/>
  <c r="AG27" i="4"/>
  <c r="AG28" i="4"/>
  <c r="AO27" i="4"/>
  <c r="AO28" i="4"/>
  <c r="BA27" i="4"/>
  <c r="BA28" i="4"/>
  <c r="BM27" i="4"/>
  <c r="BM28" i="4"/>
  <c r="CC27" i="4"/>
  <c r="CC28" i="4"/>
  <c r="CO27" i="4"/>
  <c r="CO28" i="4"/>
  <c r="CW27" i="4"/>
  <c r="CW28" i="4"/>
  <c r="DE27" i="4"/>
  <c r="DE28" i="4"/>
  <c r="DQ27" i="4"/>
  <c r="DQ28" i="4"/>
  <c r="DY27" i="4"/>
  <c r="DY28" i="4"/>
  <c r="EG27" i="4"/>
  <c r="EG28" i="4"/>
  <c r="EK27" i="4"/>
  <c r="EK28" i="4"/>
  <c r="ES27" i="4"/>
  <c r="ES28" i="4"/>
  <c r="FA27" i="4"/>
  <c r="FA28" i="4"/>
  <c r="FI27" i="4"/>
  <c r="FI28" i="4"/>
  <c r="FQ27" i="4"/>
  <c r="FQ28" i="4"/>
  <c r="FY27" i="4"/>
  <c r="FY28" i="4"/>
  <c r="GG27" i="4"/>
  <c r="GG28" i="4"/>
  <c r="GO27" i="4"/>
  <c r="GO28" i="4"/>
  <c r="GW27" i="4"/>
  <c r="GW28" i="4"/>
  <c r="HE27" i="4"/>
  <c r="HE28" i="4"/>
  <c r="HM27" i="4"/>
  <c r="HM28" i="4"/>
  <c r="HU27" i="4"/>
  <c r="HU28" i="4"/>
  <c r="IC27" i="4"/>
  <c r="IC28" i="4"/>
  <c r="IK27" i="4"/>
  <c r="IK28" i="4"/>
  <c r="IS27" i="4"/>
  <c r="IS28" i="4"/>
  <c r="D46" i="4"/>
  <c r="D45" i="4"/>
  <c r="L46" i="4"/>
  <c r="L45" i="4"/>
  <c r="T46" i="4"/>
  <c r="T45" i="4"/>
  <c r="X46" i="4"/>
  <c r="X45" i="4"/>
  <c r="AF46" i="4"/>
  <c r="AF45" i="4"/>
  <c r="AN46" i="4"/>
  <c r="AN45" i="4"/>
  <c r="AV46" i="4"/>
  <c r="AV45" i="4"/>
  <c r="BD46" i="4"/>
  <c r="BD45" i="4"/>
  <c r="BL46" i="4"/>
  <c r="BL45" i="4"/>
  <c r="BT46" i="4"/>
  <c r="BT45" i="4"/>
  <c r="CB46" i="4"/>
  <c r="CB45" i="4"/>
  <c r="CJ46" i="4"/>
  <c r="CJ45" i="4"/>
  <c r="CR46" i="4"/>
  <c r="CR45" i="4"/>
  <c r="CZ46" i="4"/>
  <c r="CZ45" i="4"/>
  <c r="DL46" i="4"/>
  <c r="DL45" i="4"/>
  <c r="DT46" i="4"/>
  <c r="DT45" i="4"/>
  <c r="EB46" i="4"/>
  <c r="EB45" i="4"/>
  <c r="EJ46" i="4"/>
  <c r="EJ45" i="4"/>
  <c r="ER46" i="4"/>
  <c r="ER45" i="4"/>
  <c r="EZ46" i="4"/>
  <c r="EZ45" i="4"/>
  <c r="FH46" i="4"/>
  <c r="FH45" i="4"/>
  <c r="FL46" i="4"/>
  <c r="FL45" i="4"/>
  <c r="FT46" i="4"/>
  <c r="FT45" i="4"/>
  <c r="GB46" i="4"/>
  <c r="GB45" i="4"/>
  <c r="GJ46" i="4"/>
  <c r="GJ45" i="4"/>
  <c r="GV46" i="4"/>
  <c r="GV45" i="4"/>
  <c r="HD46" i="4"/>
  <c r="HD45" i="4"/>
  <c r="HL46" i="4"/>
  <c r="HL45" i="4"/>
  <c r="HT46" i="4"/>
  <c r="HT45" i="4"/>
  <c r="IB46" i="4"/>
  <c r="IB45" i="4"/>
  <c r="IJ46" i="4"/>
  <c r="IJ45" i="4"/>
  <c r="IR46" i="4"/>
  <c r="IR45" i="4"/>
  <c r="D6" i="4"/>
  <c r="H6" i="4"/>
  <c r="L6" i="4"/>
  <c r="P6" i="4"/>
  <c r="T6" i="4"/>
  <c r="X6" i="4"/>
  <c r="AB6" i="4"/>
  <c r="AF6" i="4"/>
  <c r="AJ6" i="4"/>
  <c r="AN6" i="4"/>
  <c r="AR6" i="4"/>
  <c r="AV6" i="4"/>
  <c r="AZ6" i="4"/>
  <c r="BD6" i="4"/>
  <c r="BH6" i="4"/>
  <c r="BL6" i="4"/>
  <c r="BP6" i="4"/>
  <c r="BT6" i="4"/>
  <c r="BX6" i="4"/>
  <c r="CB6" i="4"/>
  <c r="CF6" i="4"/>
  <c r="CJ6" i="4"/>
  <c r="CN6" i="4"/>
  <c r="CR6" i="4"/>
  <c r="CV6" i="4"/>
  <c r="CZ6" i="4"/>
  <c r="DD6" i="4"/>
  <c r="DH6" i="4"/>
  <c r="DL6" i="4"/>
  <c r="DP6" i="4"/>
  <c r="DT6" i="4"/>
  <c r="DX6" i="4"/>
  <c r="EB6" i="4"/>
  <c r="EF6" i="4"/>
  <c r="EJ6" i="4"/>
  <c r="EN6" i="4"/>
  <c r="ER6" i="4"/>
  <c r="EV6" i="4"/>
  <c r="EZ6" i="4"/>
  <c r="FD6" i="4"/>
  <c r="FH6" i="4"/>
  <c r="FL6" i="4"/>
  <c r="FP6" i="4"/>
  <c r="FT6" i="4"/>
  <c r="FX6" i="4"/>
  <c r="GB6" i="4"/>
  <c r="GF6" i="4"/>
  <c r="GJ6" i="4"/>
  <c r="GN6" i="4"/>
  <c r="GR6" i="4"/>
  <c r="GV6" i="4"/>
  <c r="GZ6" i="4"/>
  <c r="HD6" i="4"/>
  <c r="HH6" i="4"/>
  <c r="HL6" i="4"/>
  <c r="HP6" i="4"/>
  <c r="HT6" i="4"/>
  <c r="HX6" i="4"/>
  <c r="IB6" i="4"/>
  <c r="IF6" i="4"/>
  <c r="IJ6" i="4"/>
  <c r="IN6" i="4"/>
  <c r="IR6" i="4"/>
  <c r="IV6" i="4"/>
  <c r="F7" i="4"/>
  <c r="J7" i="4"/>
  <c r="N7" i="4"/>
  <c r="R7" i="4"/>
  <c r="V7" i="4"/>
  <c r="Z7" i="4"/>
  <c r="AD7" i="4"/>
  <c r="AH7" i="4"/>
  <c r="AL7" i="4"/>
  <c r="AP7" i="4"/>
  <c r="AT7" i="4"/>
  <c r="AX7" i="4"/>
  <c r="BB7" i="4"/>
  <c r="BF7" i="4"/>
  <c r="BJ7" i="4"/>
  <c r="BN7" i="4"/>
  <c r="BR7" i="4"/>
  <c r="BV7" i="4"/>
  <c r="BZ7" i="4"/>
  <c r="CD7" i="4"/>
  <c r="CH7" i="4"/>
  <c r="CL7" i="4"/>
  <c r="CP7" i="4"/>
  <c r="CT7" i="4"/>
  <c r="CX7" i="4"/>
  <c r="DB7" i="4"/>
  <c r="DF7" i="4"/>
  <c r="DJ7" i="4"/>
  <c r="DN7" i="4"/>
  <c r="DR7" i="4"/>
  <c r="DV7" i="4"/>
  <c r="DZ7" i="4"/>
  <c r="ED7" i="4"/>
  <c r="EH7" i="4"/>
  <c r="EL7" i="4"/>
  <c r="EP7" i="4"/>
  <c r="ET7" i="4"/>
  <c r="EX7" i="4"/>
  <c r="FB7" i="4"/>
  <c r="FF7" i="4"/>
  <c r="FJ7" i="4"/>
  <c r="FN7" i="4"/>
  <c r="FR7" i="4"/>
  <c r="FV7" i="4"/>
  <c r="FZ7" i="4"/>
  <c r="GD7" i="4"/>
  <c r="GH7" i="4"/>
  <c r="GL7" i="4"/>
  <c r="GP7" i="4"/>
  <c r="GT7" i="4"/>
  <c r="GX7" i="4"/>
  <c r="HB7" i="4"/>
  <c r="HF7" i="4"/>
  <c r="HJ7" i="4"/>
  <c r="HN7" i="4"/>
  <c r="HR7" i="4"/>
  <c r="HV7" i="4"/>
  <c r="HZ7" i="4"/>
  <c r="ID7" i="4"/>
  <c r="IH7" i="4"/>
  <c r="IL7" i="4"/>
  <c r="IP7" i="4"/>
  <c r="IT7" i="4"/>
  <c r="D8" i="4"/>
  <c r="H8" i="4"/>
  <c r="L8" i="4"/>
  <c r="P8" i="4"/>
  <c r="T8" i="4"/>
  <c r="X8" i="4"/>
  <c r="AB8" i="4"/>
  <c r="AF8" i="4"/>
  <c r="AJ8" i="4"/>
  <c r="AN8" i="4"/>
  <c r="AR8" i="4"/>
  <c r="AV8" i="4"/>
  <c r="AZ8" i="4"/>
  <c r="BD8" i="4"/>
  <c r="BH8" i="4"/>
  <c r="BL8" i="4"/>
  <c r="BP8" i="4"/>
  <c r="BT8" i="4"/>
  <c r="BX8" i="4"/>
  <c r="CB8" i="4"/>
  <c r="CF8" i="4"/>
  <c r="CJ8" i="4"/>
  <c r="CN8" i="4"/>
  <c r="CR8" i="4"/>
  <c r="CV8" i="4"/>
  <c r="CZ8" i="4"/>
  <c r="DD8" i="4"/>
  <c r="DH8" i="4"/>
  <c r="DL8" i="4"/>
  <c r="DP8" i="4"/>
  <c r="DT8" i="4"/>
  <c r="DX8" i="4"/>
  <c r="EB8" i="4"/>
  <c r="EF8" i="4"/>
  <c r="EJ8" i="4"/>
  <c r="EN8" i="4"/>
  <c r="ER8" i="4"/>
  <c r="EV8" i="4"/>
  <c r="EZ8" i="4"/>
  <c r="FD8" i="4"/>
  <c r="FH8" i="4"/>
  <c r="FL8" i="4"/>
  <c r="FP8" i="4"/>
  <c r="FT8" i="4"/>
  <c r="FX8" i="4"/>
  <c r="GB8" i="4"/>
  <c r="GF8" i="4"/>
  <c r="GJ8" i="4"/>
  <c r="GN8" i="4"/>
  <c r="GR8" i="4"/>
  <c r="GV8" i="4"/>
  <c r="GZ8" i="4"/>
  <c r="HD8" i="4"/>
  <c r="HH8" i="4"/>
  <c r="HL8" i="4"/>
  <c r="HP8" i="4"/>
  <c r="HT8" i="4"/>
  <c r="HX8" i="4"/>
  <c r="IB8" i="4"/>
  <c r="IF8" i="4"/>
  <c r="IJ8" i="4"/>
  <c r="IN8" i="4"/>
  <c r="IR8" i="4"/>
  <c r="IV8" i="4"/>
  <c r="D10" i="4"/>
  <c r="H10" i="4"/>
  <c r="L10" i="4"/>
  <c r="P10" i="4"/>
  <c r="T10" i="4"/>
  <c r="X10" i="4"/>
  <c r="AB10" i="4"/>
  <c r="AF10" i="4"/>
  <c r="AJ10" i="4"/>
  <c r="AN10" i="4"/>
  <c r="AR10" i="4"/>
  <c r="AV10" i="4"/>
  <c r="AZ10" i="4"/>
  <c r="BD10" i="4"/>
  <c r="BH10" i="4"/>
  <c r="BL10" i="4"/>
  <c r="BP10" i="4"/>
  <c r="BT10" i="4"/>
  <c r="BX10" i="4"/>
  <c r="CB10" i="4"/>
  <c r="CF10" i="4"/>
  <c r="CJ10" i="4"/>
  <c r="CN10" i="4"/>
  <c r="CR10" i="4"/>
  <c r="CV10" i="4"/>
  <c r="CZ10" i="4"/>
  <c r="DD10" i="4"/>
  <c r="DH10" i="4"/>
  <c r="DL10" i="4"/>
  <c r="DP10" i="4"/>
  <c r="DT10" i="4"/>
  <c r="DX10" i="4"/>
  <c r="EB10" i="4"/>
  <c r="EF10" i="4"/>
  <c r="EJ10" i="4"/>
  <c r="EN10" i="4"/>
  <c r="ER10" i="4"/>
  <c r="EV10" i="4"/>
  <c r="EZ10" i="4"/>
  <c r="FD10" i="4"/>
  <c r="FH10" i="4"/>
  <c r="FL10" i="4"/>
  <c r="FP10" i="4"/>
  <c r="FT10" i="4"/>
  <c r="FX10" i="4"/>
  <c r="GB10" i="4"/>
  <c r="GF10" i="4"/>
  <c r="GJ10" i="4"/>
  <c r="GN10" i="4"/>
  <c r="GR10" i="4"/>
  <c r="GV10" i="4"/>
  <c r="GZ10" i="4"/>
  <c r="HD10" i="4"/>
  <c r="HH10" i="4"/>
  <c r="HL10" i="4"/>
  <c r="HP10" i="4"/>
  <c r="HT10" i="4"/>
  <c r="HX10" i="4"/>
  <c r="IB10" i="4"/>
  <c r="IF10" i="4"/>
  <c r="IJ10" i="4"/>
  <c r="IN10" i="4"/>
  <c r="IR10" i="4"/>
  <c r="IV10" i="4"/>
  <c r="HB28" i="4"/>
  <c r="HB26" i="4"/>
  <c r="HF28" i="4"/>
  <c r="HF26" i="4"/>
  <c r="HJ28" i="4"/>
  <c r="HJ26" i="4"/>
  <c r="HN28" i="4"/>
  <c r="HN26" i="4"/>
  <c r="HR28" i="4"/>
  <c r="HR26" i="4"/>
  <c r="HV28" i="4"/>
  <c r="HV26" i="4"/>
  <c r="HZ28" i="4"/>
  <c r="HZ26" i="4"/>
  <c r="ID28" i="4"/>
  <c r="ID26" i="4"/>
  <c r="IH28" i="4"/>
  <c r="IH26" i="4"/>
  <c r="IL28" i="4"/>
  <c r="IL26" i="4"/>
  <c r="IP28" i="4"/>
  <c r="IP26" i="4"/>
  <c r="IT28" i="4"/>
  <c r="IT26" i="4"/>
  <c r="D24" i="4"/>
  <c r="H24" i="4"/>
  <c r="L24" i="4"/>
  <c r="P24" i="4"/>
  <c r="T24" i="4"/>
  <c r="X24" i="4"/>
  <c r="AB24" i="4"/>
  <c r="AF24" i="4"/>
  <c r="AJ24" i="4"/>
  <c r="AN24" i="4"/>
  <c r="AR24" i="4"/>
  <c r="AV24" i="4"/>
  <c r="AZ24" i="4"/>
  <c r="BD24" i="4"/>
  <c r="BH24" i="4"/>
  <c r="BL24" i="4"/>
  <c r="BP24" i="4"/>
  <c r="BT24" i="4"/>
  <c r="BX24" i="4"/>
  <c r="CB24" i="4"/>
  <c r="CF24" i="4"/>
  <c r="CJ24" i="4"/>
  <c r="CN24" i="4"/>
  <c r="CR24" i="4"/>
  <c r="CV24" i="4"/>
  <c r="CZ24" i="4"/>
  <c r="DD24" i="4"/>
  <c r="DH24" i="4"/>
  <c r="DL24" i="4"/>
  <c r="DP24" i="4"/>
  <c r="DT24" i="4"/>
  <c r="DX24" i="4"/>
  <c r="EB24" i="4"/>
  <c r="EF24" i="4"/>
  <c r="EJ24" i="4"/>
  <c r="EN24" i="4"/>
  <c r="ER24" i="4"/>
  <c r="EV24" i="4"/>
  <c r="EZ24" i="4"/>
  <c r="FD24" i="4"/>
  <c r="FH24" i="4"/>
  <c r="FL24" i="4"/>
  <c r="FP24" i="4"/>
  <c r="FT24" i="4"/>
  <c r="FX24" i="4"/>
  <c r="GB24" i="4"/>
  <c r="GF24" i="4"/>
  <c r="GJ24" i="4"/>
  <c r="GN24" i="4"/>
  <c r="GR24" i="4"/>
  <c r="GV24" i="4"/>
  <c r="GZ24" i="4"/>
  <c r="HH24" i="4"/>
  <c r="HL24" i="4"/>
  <c r="HP24" i="4"/>
  <c r="HX24" i="4"/>
  <c r="IB24" i="4"/>
  <c r="IF24" i="4"/>
  <c r="IN24" i="4"/>
  <c r="IR24" i="4"/>
  <c r="IV24" i="4"/>
  <c r="L26" i="4"/>
  <c r="P26" i="4"/>
  <c r="AB26" i="4"/>
  <c r="AF26" i="4"/>
  <c r="AR26" i="4"/>
  <c r="AV26" i="4"/>
  <c r="BH26" i="4"/>
  <c r="BL26" i="4"/>
  <c r="BX26" i="4"/>
  <c r="CB26" i="4"/>
  <c r="CN26" i="4"/>
  <c r="CR26" i="4"/>
  <c r="DD26" i="4"/>
  <c r="DH26" i="4"/>
  <c r="DT26" i="4"/>
  <c r="DX26" i="4"/>
  <c r="EJ26" i="4"/>
  <c r="EN26" i="4"/>
  <c r="EZ26" i="4"/>
  <c r="FD26" i="4"/>
  <c r="FP26" i="4"/>
  <c r="FT26" i="4"/>
  <c r="GF26" i="4"/>
  <c r="GJ26" i="4"/>
  <c r="GV26" i="4"/>
  <c r="GZ26" i="4"/>
  <c r="HE26" i="4"/>
  <c r="HM26" i="4"/>
  <c r="HU26" i="4"/>
  <c r="IC26" i="4"/>
  <c r="IK26" i="4"/>
  <c r="IS26" i="4"/>
  <c r="FN27" i="4"/>
  <c r="GD27" i="4"/>
  <c r="GT27" i="4"/>
  <c r="HJ27" i="4"/>
  <c r="HZ27" i="4"/>
  <c r="IP27" i="4"/>
  <c r="I27" i="4"/>
  <c r="I28" i="4"/>
  <c r="U27" i="4"/>
  <c r="U28" i="4"/>
  <c r="AC27" i="4"/>
  <c r="AC28" i="4"/>
  <c r="AS27" i="4"/>
  <c r="AS28" i="4"/>
  <c r="BE27" i="4"/>
  <c r="BE28" i="4"/>
  <c r="BQ27" i="4"/>
  <c r="BQ28" i="4"/>
  <c r="BY27" i="4"/>
  <c r="BY28" i="4"/>
  <c r="CK27" i="4"/>
  <c r="CK28" i="4"/>
  <c r="CS27" i="4"/>
  <c r="CS28" i="4"/>
  <c r="DA27" i="4"/>
  <c r="DA28" i="4"/>
  <c r="DM27" i="4"/>
  <c r="DM28" i="4"/>
  <c r="DU27" i="4"/>
  <c r="DU28" i="4"/>
  <c r="EC27" i="4"/>
  <c r="EC28" i="4"/>
  <c r="EO27" i="4"/>
  <c r="EO28" i="4"/>
  <c r="EW27" i="4"/>
  <c r="EW28" i="4"/>
  <c r="FE27" i="4"/>
  <c r="FE28" i="4"/>
  <c r="FM27" i="4"/>
  <c r="FM28" i="4"/>
  <c r="FU27" i="4"/>
  <c r="FU28" i="4"/>
  <c r="GC27" i="4"/>
  <c r="GC28" i="4"/>
  <c r="GK27" i="4"/>
  <c r="GK28" i="4"/>
  <c r="GS27" i="4"/>
  <c r="GS28" i="4"/>
  <c r="HA27" i="4"/>
  <c r="HA28" i="4"/>
  <c r="HI27" i="4"/>
  <c r="HI28" i="4"/>
  <c r="HQ27" i="4"/>
  <c r="HQ28" i="4"/>
  <c r="HY27" i="4"/>
  <c r="HY28" i="4"/>
  <c r="IG27" i="4"/>
  <c r="IG28" i="4"/>
  <c r="IO27" i="4"/>
  <c r="IO28" i="4"/>
  <c r="H45" i="4"/>
  <c r="H46" i="4"/>
  <c r="P46" i="4"/>
  <c r="P45" i="4"/>
  <c r="AB46" i="4"/>
  <c r="AB45" i="4"/>
  <c r="AJ46" i="4"/>
  <c r="AJ45" i="4"/>
  <c r="AR46" i="4"/>
  <c r="AR45" i="4"/>
  <c r="AZ46" i="4"/>
  <c r="AZ45" i="4"/>
  <c r="BH46" i="4"/>
  <c r="BH45" i="4"/>
  <c r="BP46" i="4"/>
  <c r="BP45" i="4"/>
  <c r="BX46" i="4"/>
  <c r="BX45" i="4"/>
  <c r="CF46" i="4"/>
  <c r="CF45" i="4"/>
  <c r="CN46" i="4"/>
  <c r="CN45" i="4"/>
  <c r="CV46" i="4"/>
  <c r="CV45" i="4"/>
  <c r="DD46" i="4"/>
  <c r="DD45" i="4"/>
  <c r="DH46" i="4"/>
  <c r="DH45" i="4"/>
  <c r="DP46" i="4"/>
  <c r="DP45" i="4"/>
  <c r="DX46" i="4"/>
  <c r="DX45" i="4"/>
  <c r="EF46" i="4"/>
  <c r="EF45" i="4"/>
  <c r="EN46" i="4"/>
  <c r="EN45" i="4"/>
  <c r="EV46" i="4"/>
  <c r="EV45" i="4"/>
  <c r="FD46" i="4"/>
  <c r="FD45" i="4"/>
  <c r="FP46" i="4"/>
  <c r="FP45" i="4"/>
  <c r="FX46" i="4"/>
  <c r="FX45" i="4"/>
  <c r="GF46" i="4"/>
  <c r="GF45" i="4"/>
  <c r="GN46" i="4"/>
  <c r="GN45" i="4"/>
  <c r="GR46" i="4"/>
  <c r="GR45" i="4"/>
  <c r="GZ46" i="4"/>
  <c r="GZ45" i="4"/>
  <c r="HH46" i="4"/>
  <c r="HH45" i="4"/>
  <c r="HP46" i="4"/>
  <c r="HP45" i="4"/>
  <c r="HX46" i="4"/>
  <c r="HX45" i="4"/>
  <c r="IF46" i="4"/>
  <c r="IF45" i="4"/>
  <c r="IN46" i="4"/>
  <c r="IN45" i="4"/>
  <c r="IV46" i="4"/>
  <c r="IV45" i="4"/>
  <c r="D52" i="4"/>
  <c r="H52" i="4"/>
  <c r="L52" i="4"/>
  <c r="P52" i="4"/>
  <c r="T52" i="4"/>
  <c r="X52" i="4"/>
  <c r="AB52" i="4"/>
  <c r="AF52" i="4"/>
  <c r="AJ52" i="4"/>
  <c r="AN52" i="4"/>
  <c r="AR52" i="4"/>
  <c r="AV52" i="4"/>
  <c r="AZ52" i="4"/>
  <c r="BD52" i="4"/>
  <c r="BH52" i="4"/>
  <c r="BL52" i="4"/>
  <c r="BP52" i="4"/>
  <c r="BT52" i="4"/>
  <c r="BX52" i="4"/>
  <c r="CB52" i="4"/>
  <c r="CF52" i="4"/>
  <c r="CJ52" i="4"/>
  <c r="CN52" i="4"/>
  <c r="CR52" i="4"/>
  <c r="CV52" i="4"/>
  <c r="CZ52" i="4"/>
  <c r="DD52" i="4"/>
  <c r="DH52" i="4"/>
  <c r="DL52" i="4"/>
  <c r="DP52" i="4"/>
  <c r="DT52" i="4"/>
  <c r="DX52" i="4"/>
  <c r="EB52" i="4"/>
  <c r="EF52" i="4"/>
  <c r="EJ52" i="4"/>
  <c r="EN52" i="4"/>
  <c r="ER52" i="4"/>
  <c r="EV52" i="4"/>
  <c r="EZ52" i="4"/>
  <c r="FD52" i="4"/>
  <c r="FH52" i="4"/>
  <c r="FL52" i="4"/>
  <c r="FP52" i="4"/>
  <c r="FT52" i="4"/>
  <c r="FX52" i="4"/>
  <c r="GB52" i="4"/>
  <c r="GF52" i="4"/>
  <c r="GJ52" i="4"/>
  <c r="GN52" i="4"/>
  <c r="GR52" i="4"/>
  <c r="GV52" i="4"/>
  <c r="GZ52" i="4"/>
  <c r="HD52" i="4"/>
  <c r="HH52" i="4"/>
  <c r="HL52" i="4"/>
  <c r="HP52" i="4"/>
  <c r="HT52" i="4"/>
  <c r="HX52" i="4"/>
  <c r="IB52" i="4"/>
  <c r="IF52" i="4"/>
  <c r="IJ52" i="4"/>
  <c r="IN52" i="4"/>
  <c r="IR52" i="4"/>
  <c r="IV52" i="4"/>
  <c r="G28" i="4"/>
  <c r="K28" i="4"/>
  <c r="O28" i="4"/>
  <c r="S28" i="4"/>
  <c r="W28" i="4"/>
  <c r="AA28" i="4"/>
  <c r="AE28" i="4"/>
  <c r="AI28" i="4"/>
  <c r="AM28" i="4"/>
  <c r="AQ28" i="4"/>
  <c r="AU28" i="4"/>
  <c r="AY28" i="4"/>
  <c r="BC28" i="4"/>
  <c r="BG28" i="4"/>
  <c r="BK28" i="4"/>
  <c r="BO28" i="4"/>
  <c r="BS28" i="4"/>
  <c r="BW28" i="4"/>
  <c r="CA28" i="4"/>
  <c r="CE28" i="4"/>
  <c r="CI28" i="4"/>
  <c r="CM28" i="4"/>
  <c r="CQ28" i="4"/>
  <c r="CU28" i="4"/>
  <c r="CY28" i="4"/>
  <c r="DC28" i="4"/>
  <c r="DG28" i="4"/>
  <c r="DK28" i="4"/>
  <c r="DO28" i="4"/>
  <c r="DS28" i="4"/>
  <c r="DW28" i="4"/>
  <c r="EA28" i="4"/>
  <c r="EE28" i="4"/>
  <c r="EI28" i="4"/>
  <c r="EM28" i="4"/>
  <c r="EQ28" i="4"/>
  <c r="EU28" i="4"/>
  <c r="EY28" i="4"/>
  <c r="FC28" i="4"/>
  <c r="FG28" i="4"/>
  <c r="FK28" i="4"/>
  <c r="FK27" i="4"/>
  <c r="FO28" i="4"/>
  <c r="FO27" i="4"/>
  <c r="FS28" i="4"/>
  <c r="FS27" i="4"/>
  <c r="FW28" i="4"/>
  <c r="FW27" i="4"/>
  <c r="GA28" i="4"/>
  <c r="GA27" i="4"/>
  <c r="GE28" i="4"/>
  <c r="GE27" i="4"/>
  <c r="GI28" i="4"/>
  <c r="GI27" i="4"/>
  <c r="GM28" i="4"/>
  <c r="GM27" i="4"/>
  <c r="GQ28" i="4"/>
  <c r="GQ27" i="4"/>
  <c r="GU28" i="4"/>
  <c r="GU27" i="4"/>
  <c r="GY28" i="4"/>
  <c r="GY27" i="4"/>
  <c r="HC28" i="4"/>
  <c r="HC27" i="4"/>
  <c r="HG28" i="4"/>
  <c r="HG26" i="4"/>
  <c r="HG27" i="4"/>
  <c r="HK28" i="4"/>
  <c r="HK26" i="4"/>
  <c r="HK27" i="4"/>
  <c r="HO28" i="4"/>
  <c r="HO26" i="4"/>
  <c r="HO27" i="4"/>
  <c r="HS28" i="4"/>
  <c r="HS26" i="4"/>
  <c r="HS27" i="4"/>
  <c r="HW28" i="4"/>
  <c r="HW26" i="4"/>
  <c r="HW27" i="4"/>
  <c r="IA28" i="4"/>
  <c r="IA26" i="4"/>
  <c r="IA27" i="4"/>
  <c r="IE28" i="4"/>
  <c r="IE26" i="4"/>
  <c r="IE27" i="4"/>
  <c r="II28" i="4"/>
  <c r="II26" i="4"/>
  <c r="II27" i="4"/>
  <c r="IM28" i="4"/>
  <c r="IM26" i="4"/>
  <c r="IM27" i="4"/>
  <c r="IQ28" i="4"/>
  <c r="IQ26" i="4"/>
  <c r="IQ27" i="4"/>
  <c r="IU28" i="4"/>
  <c r="IU26" i="4"/>
  <c r="IU27" i="4"/>
  <c r="E24" i="4"/>
  <c r="I24" i="4"/>
  <c r="M24" i="4"/>
  <c r="Q24" i="4"/>
  <c r="U24" i="4"/>
  <c r="Y24" i="4"/>
  <c r="AC24" i="4"/>
  <c r="AG24" i="4"/>
  <c r="AK24" i="4"/>
  <c r="AO24" i="4"/>
  <c r="AS24" i="4"/>
  <c r="AW24" i="4"/>
  <c r="BA24" i="4"/>
  <c r="BE24" i="4"/>
  <c r="BI24" i="4"/>
  <c r="BM24" i="4"/>
  <c r="BQ24" i="4"/>
  <c r="BU24" i="4"/>
  <c r="BY24" i="4"/>
  <c r="CC24" i="4"/>
  <c r="CG24" i="4"/>
  <c r="CK24" i="4"/>
  <c r="CO24" i="4"/>
  <c r="CS24" i="4"/>
  <c r="CW24" i="4"/>
  <c r="DA24" i="4"/>
  <c r="DE24" i="4"/>
  <c r="DI24" i="4"/>
  <c r="DM24" i="4"/>
  <c r="DQ24" i="4"/>
  <c r="DU24" i="4"/>
  <c r="DY24" i="4"/>
  <c r="EC24" i="4"/>
  <c r="EG24" i="4"/>
  <c r="EK24" i="4"/>
  <c r="EO24" i="4"/>
  <c r="ES24" i="4"/>
  <c r="EW24" i="4"/>
  <c r="FA24" i="4"/>
  <c r="FE24" i="4"/>
  <c r="FI24" i="4"/>
  <c r="FM24" i="4"/>
  <c r="FQ24" i="4"/>
  <c r="FU24" i="4"/>
  <c r="FY24" i="4"/>
  <c r="GC24" i="4"/>
  <c r="GG24" i="4"/>
  <c r="GK24" i="4"/>
  <c r="GO24" i="4"/>
  <c r="GS24" i="4"/>
  <c r="GW24" i="4"/>
  <c r="HA24" i="4"/>
  <c r="HE24" i="4"/>
  <c r="HI24" i="4"/>
  <c r="HM24" i="4"/>
  <c r="HQ24" i="4"/>
  <c r="HU24" i="4"/>
  <c r="HY24" i="4"/>
  <c r="IC24" i="4"/>
  <c r="IG24" i="4"/>
  <c r="IK24" i="4"/>
  <c r="IO24" i="4"/>
  <c r="IS24" i="4"/>
  <c r="I26" i="4"/>
  <c r="M26" i="4"/>
  <c r="U26" i="4"/>
  <c r="Y26" i="4"/>
  <c r="AC26" i="4"/>
  <c r="AG26" i="4"/>
  <c r="AO26" i="4"/>
  <c r="AS26" i="4"/>
  <c r="BA26" i="4"/>
  <c r="BE26" i="4"/>
  <c r="BM26" i="4"/>
  <c r="BQ26" i="4"/>
  <c r="BY26" i="4"/>
  <c r="CC26" i="4"/>
  <c r="CK26" i="4"/>
  <c r="CO26" i="4"/>
  <c r="CS26" i="4"/>
  <c r="CW26" i="4"/>
  <c r="DA26" i="4"/>
  <c r="DE26" i="4"/>
  <c r="DM26" i="4"/>
  <c r="DQ26" i="4"/>
  <c r="DU26" i="4"/>
  <c r="DY26" i="4"/>
  <c r="EC26" i="4"/>
  <c r="EG26" i="4"/>
  <c r="EK26" i="4"/>
  <c r="EO26" i="4"/>
  <c r="ES26" i="4"/>
  <c r="EW26" i="4"/>
  <c r="FA26" i="4"/>
  <c r="FE26" i="4"/>
  <c r="FI26" i="4"/>
  <c r="FM26" i="4"/>
  <c r="FQ26" i="4"/>
  <c r="FU26" i="4"/>
  <c r="FY26" i="4"/>
  <c r="GC26" i="4"/>
  <c r="GG26" i="4"/>
  <c r="GK26" i="4"/>
  <c r="GO26" i="4"/>
  <c r="GS26" i="4"/>
  <c r="GW26" i="4"/>
  <c r="HA26" i="4"/>
  <c r="HP26" i="4"/>
  <c r="IF26" i="4"/>
  <c r="IV26" i="4"/>
  <c r="J27" i="4"/>
  <c r="R27" i="4"/>
  <c r="Z27" i="4"/>
  <c r="AH27" i="4"/>
  <c r="AP27" i="4"/>
  <c r="AX27" i="4"/>
  <c r="BF27" i="4"/>
  <c r="BN27" i="4"/>
  <c r="BV27" i="4"/>
  <c r="CD27" i="4"/>
  <c r="CL27" i="4"/>
  <c r="CT27" i="4"/>
  <c r="DB27" i="4"/>
  <c r="DJ27" i="4"/>
  <c r="DR27" i="4"/>
  <c r="DZ27" i="4"/>
  <c r="EH27" i="4"/>
  <c r="EP27" i="4"/>
  <c r="EX27" i="4"/>
  <c r="FF27" i="4"/>
  <c r="FR27" i="4"/>
  <c r="GH27" i="4"/>
  <c r="GX27" i="4"/>
  <c r="HN27" i="4"/>
  <c r="ID27" i="4"/>
  <c r="IT27" i="4"/>
  <c r="E27" i="4"/>
  <c r="E28" i="4"/>
  <c r="Q27" i="4"/>
  <c r="Q28" i="4"/>
  <c r="AK27" i="4"/>
  <c r="AK28" i="4"/>
  <c r="AW27" i="4"/>
  <c r="AW28" i="4"/>
  <c r="BI27" i="4"/>
  <c r="BI28" i="4"/>
  <c r="BU27" i="4"/>
  <c r="BU28" i="4"/>
  <c r="CG27" i="4"/>
  <c r="CG28" i="4"/>
  <c r="DI27" i="4"/>
  <c r="DI28" i="4"/>
  <c r="D27" i="4"/>
  <c r="H27" i="4"/>
  <c r="L27" i="4"/>
  <c r="P27" i="4"/>
  <c r="T27" i="4"/>
  <c r="X27" i="4"/>
  <c r="AB27" i="4"/>
  <c r="AF27" i="4"/>
  <c r="AJ27" i="4"/>
  <c r="AN27" i="4"/>
  <c r="AR27" i="4"/>
  <c r="AV27" i="4"/>
  <c r="AZ27" i="4"/>
  <c r="BD27" i="4"/>
  <c r="BH27" i="4"/>
  <c r="BL27" i="4"/>
  <c r="BP27" i="4"/>
  <c r="BT27" i="4"/>
  <c r="BX27" i="4"/>
  <c r="CB27" i="4"/>
  <c r="CF27" i="4"/>
  <c r="CJ27" i="4"/>
  <c r="CN27" i="4"/>
  <c r="CR27" i="4"/>
  <c r="CV27" i="4"/>
  <c r="CZ27" i="4"/>
  <c r="DD27" i="4"/>
  <c r="DH27" i="4"/>
  <c r="DL27" i="4"/>
  <c r="DP27" i="4"/>
  <c r="DT27" i="4"/>
  <c r="DX27" i="4"/>
  <c r="EB27" i="4"/>
  <c r="EF27" i="4"/>
  <c r="EJ27" i="4"/>
  <c r="EN27" i="4"/>
  <c r="ER27" i="4"/>
  <c r="EV27" i="4"/>
  <c r="EZ27" i="4"/>
  <c r="FD27" i="4"/>
  <c r="FH27" i="4"/>
  <c r="FL27" i="4"/>
  <c r="FP27" i="4"/>
  <c r="FT27" i="4"/>
  <c r="FX27" i="4"/>
  <c r="GB27" i="4"/>
  <c r="GF27" i="4"/>
  <c r="GJ27" i="4"/>
  <c r="GN27" i="4"/>
  <c r="GR27" i="4"/>
  <c r="GV27" i="4"/>
  <c r="GZ27" i="4"/>
  <c r="HD27" i="4"/>
  <c r="HH27" i="4"/>
  <c r="HL27" i="4"/>
  <c r="HP27" i="4"/>
  <c r="HT27" i="4"/>
  <c r="HX27" i="4"/>
  <c r="IB27" i="4"/>
  <c r="IF27" i="4"/>
  <c r="IJ27" i="4"/>
  <c r="IN27" i="4"/>
  <c r="IR27" i="4"/>
  <c r="IV27" i="4"/>
  <c r="F26" i="4"/>
  <c r="J26" i="4"/>
  <c r="N26" i="4"/>
  <c r="R26" i="4"/>
  <c r="V26" i="4"/>
  <c r="Z26" i="4"/>
  <c r="AD26" i="4"/>
  <c r="AH26" i="4"/>
  <c r="AL26" i="4"/>
  <c r="AP26" i="4"/>
  <c r="AT26" i="4"/>
  <c r="AX26" i="4"/>
  <c r="BB26" i="4"/>
  <c r="BF26" i="4"/>
  <c r="BJ26" i="4"/>
  <c r="BN26" i="4"/>
  <c r="BR26" i="4"/>
  <c r="BV26" i="4"/>
  <c r="BZ26" i="4"/>
  <c r="CD26" i="4"/>
  <c r="CH26" i="4"/>
  <c r="CL26" i="4"/>
  <c r="CP26" i="4"/>
  <c r="CT26" i="4"/>
  <c r="CX26" i="4"/>
  <c r="DB26" i="4"/>
  <c r="DF26" i="4"/>
  <c r="DJ26" i="4"/>
  <c r="DN26" i="4"/>
  <c r="DR26" i="4"/>
  <c r="DV26" i="4"/>
  <c r="DZ26" i="4"/>
  <c r="ED26" i="4"/>
  <c r="EH26" i="4"/>
  <c r="EL26" i="4"/>
  <c r="EP26" i="4"/>
  <c r="ET26" i="4"/>
  <c r="EX26" i="4"/>
  <c r="FB26" i="4"/>
  <c r="FF26" i="4"/>
  <c r="FJ26" i="4"/>
  <c r="FN26" i="4"/>
  <c r="FR26" i="4"/>
  <c r="FV26" i="4"/>
  <c r="FZ26" i="4"/>
  <c r="GD26" i="4"/>
  <c r="GH26" i="4"/>
  <c r="GL26" i="4"/>
  <c r="GP26" i="4"/>
  <c r="GT26" i="4"/>
  <c r="GX26" i="4"/>
  <c r="HC26" i="4"/>
  <c r="HI26" i="4"/>
  <c r="HQ26" i="4"/>
  <c r="HY26" i="4"/>
  <c r="IG26" i="4"/>
  <c r="IO26" i="4"/>
  <c r="K27" i="4"/>
  <c r="S27" i="4"/>
  <c r="AA27" i="4"/>
  <c r="AI27" i="4"/>
  <c r="AQ27" i="4"/>
  <c r="AY27" i="4"/>
  <c r="BG27" i="4"/>
  <c r="BO27" i="4"/>
  <c r="BW27" i="4"/>
  <c r="CE27" i="4"/>
  <c r="CM27" i="4"/>
  <c r="CU27" i="4"/>
  <c r="DC27" i="4"/>
  <c r="DK27" i="4"/>
  <c r="DS27" i="4"/>
  <c r="EA27" i="4"/>
  <c r="EI27" i="4"/>
  <c r="EQ27" i="4"/>
  <c r="EY27" i="4"/>
  <c r="FG27" i="4"/>
  <c r="FV27" i="4"/>
  <c r="GL27" i="4"/>
  <c r="HB27" i="4"/>
  <c r="HR27" i="4"/>
  <c r="IH27" i="4"/>
  <c r="D28" i="4"/>
  <c r="T28" i="4"/>
  <c r="AJ28" i="4"/>
  <c r="AZ28" i="4"/>
  <c r="BP28" i="4"/>
  <c r="CF28" i="4"/>
  <c r="CV28" i="4"/>
  <c r="DL28" i="4"/>
  <c r="EB28" i="4"/>
  <c r="ER28" i="4"/>
  <c r="FH28" i="4"/>
  <c r="FX28" i="4"/>
  <c r="GN28" i="4"/>
  <c r="HD28" i="4"/>
  <c r="HT28" i="4"/>
  <c r="IJ28" i="4"/>
  <c r="D37" i="4"/>
  <c r="D35" i="4"/>
  <c r="D36" i="4"/>
  <c r="D33" i="4"/>
  <c r="H37" i="4"/>
  <c r="H35" i="4"/>
  <c r="H36" i="4"/>
  <c r="H33" i="4"/>
  <c r="L37" i="4"/>
  <c r="L35" i="4"/>
  <c r="L36" i="4"/>
  <c r="L33" i="4"/>
  <c r="P37" i="4"/>
  <c r="P35" i="4"/>
  <c r="P36" i="4"/>
  <c r="P33" i="4"/>
  <c r="T37" i="4"/>
  <c r="T35" i="4"/>
  <c r="T36" i="4"/>
  <c r="T33" i="4"/>
  <c r="X37" i="4"/>
  <c r="X35" i="4"/>
  <c r="X36" i="4"/>
  <c r="X33" i="4"/>
  <c r="AB37" i="4"/>
  <c r="AB35" i="4"/>
  <c r="AB36" i="4"/>
  <c r="AB33" i="4"/>
  <c r="AF37" i="4"/>
  <c r="AF35" i="4"/>
  <c r="AF36" i="4"/>
  <c r="AF33" i="4"/>
  <c r="AJ37" i="4"/>
  <c r="AJ35" i="4"/>
  <c r="AJ36" i="4"/>
  <c r="AJ33" i="4"/>
  <c r="AN37" i="4"/>
  <c r="AN35" i="4"/>
  <c r="AN36" i="4"/>
  <c r="AN33" i="4"/>
  <c r="AR37" i="4"/>
  <c r="AR35" i="4"/>
  <c r="AR36" i="4"/>
  <c r="AR33" i="4"/>
  <c r="AV37" i="4"/>
  <c r="AV35" i="4"/>
  <c r="AV36" i="4"/>
  <c r="AV33" i="4"/>
  <c r="AZ37" i="4"/>
  <c r="AZ35" i="4"/>
  <c r="AZ36" i="4"/>
  <c r="AZ33" i="4"/>
  <c r="BD37" i="4"/>
  <c r="BD35" i="4"/>
  <c r="BD36" i="4"/>
  <c r="BD33" i="4"/>
  <c r="BH37" i="4"/>
  <c r="BH35" i="4"/>
  <c r="BH36" i="4"/>
  <c r="BH33" i="4"/>
  <c r="BL37" i="4"/>
  <c r="BL35" i="4"/>
  <c r="BL36" i="4"/>
  <c r="BL33" i="4"/>
  <c r="BP37" i="4"/>
  <c r="BP35" i="4"/>
  <c r="BP36" i="4"/>
  <c r="BP33" i="4"/>
  <c r="BT37" i="4"/>
  <c r="BT35" i="4"/>
  <c r="BT36" i="4"/>
  <c r="BT33" i="4"/>
  <c r="BX37" i="4"/>
  <c r="BX35" i="4"/>
  <c r="BX36" i="4"/>
  <c r="BX33" i="4"/>
  <c r="CB37" i="4"/>
  <c r="CB35" i="4"/>
  <c r="CB36" i="4"/>
  <c r="CB33" i="4"/>
  <c r="CF37" i="4"/>
  <c r="CF35" i="4"/>
  <c r="CF36" i="4"/>
  <c r="CJ37" i="4"/>
  <c r="CJ35" i="4"/>
  <c r="CJ36" i="4"/>
  <c r="CJ33" i="4"/>
  <c r="CN37" i="4"/>
  <c r="CN35" i="4"/>
  <c r="CN36" i="4"/>
  <c r="CR37" i="4"/>
  <c r="CR35" i="4"/>
  <c r="CR36" i="4"/>
  <c r="CR33" i="4"/>
  <c r="CV37" i="4"/>
  <c r="CV35" i="4"/>
  <c r="CV36" i="4"/>
  <c r="CZ37" i="4"/>
  <c r="CZ35" i="4"/>
  <c r="CZ36" i="4"/>
  <c r="CZ33" i="4"/>
  <c r="DD37" i="4"/>
  <c r="DD35" i="4"/>
  <c r="DD36" i="4"/>
  <c r="DH37" i="4"/>
  <c r="DH35" i="4"/>
  <c r="DH36" i="4"/>
  <c r="DH33" i="4"/>
  <c r="DL37" i="4"/>
  <c r="DL35" i="4"/>
  <c r="DL36" i="4"/>
  <c r="DP37" i="4"/>
  <c r="DP35" i="4"/>
  <c r="DP36" i="4"/>
  <c r="DP33" i="4"/>
  <c r="DT37" i="4"/>
  <c r="DT35" i="4"/>
  <c r="DT36" i="4"/>
  <c r="DX37" i="4"/>
  <c r="DX35" i="4"/>
  <c r="DX36" i="4"/>
  <c r="DX33" i="4"/>
  <c r="EB37" i="4"/>
  <c r="EB35" i="4"/>
  <c r="EB36" i="4"/>
  <c r="EF37" i="4"/>
  <c r="EF35" i="4"/>
  <c r="EF36" i="4"/>
  <c r="EF33" i="4"/>
  <c r="EJ37" i="4"/>
  <c r="EJ35" i="4"/>
  <c r="EJ36" i="4"/>
  <c r="EN37" i="4"/>
  <c r="EN35" i="4"/>
  <c r="EN36" i="4"/>
  <c r="EN33" i="4"/>
  <c r="ER37" i="4"/>
  <c r="ER35" i="4"/>
  <c r="ER36" i="4"/>
  <c r="EV37" i="4"/>
  <c r="EV35" i="4"/>
  <c r="EV36" i="4"/>
  <c r="EV33" i="4"/>
  <c r="EZ37" i="4"/>
  <c r="EZ35" i="4"/>
  <c r="EZ36" i="4"/>
  <c r="FD37" i="4"/>
  <c r="FD35" i="4"/>
  <c r="FD36" i="4"/>
  <c r="FD33" i="4"/>
  <c r="FH37" i="4"/>
  <c r="FH35" i="4"/>
  <c r="FH36" i="4"/>
  <c r="FL37" i="4"/>
  <c r="FL35" i="4"/>
  <c r="FL36" i="4"/>
  <c r="FL33" i="4"/>
  <c r="FP37" i="4"/>
  <c r="FP35" i="4"/>
  <c r="FP36" i="4"/>
  <c r="FT35" i="4"/>
  <c r="FT37" i="4"/>
  <c r="FT36" i="4"/>
  <c r="FT33" i="4"/>
  <c r="FX35" i="4"/>
  <c r="FX37" i="4"/>
  <c r="FX36" i="4"/>
  <c r="GB37" i="4"/>
  <c r="GB35" i="4"/>
  <c r="GB36" i="4"/>
  <c r="GB33" i="4"/>
  <c r="GF35" i="4"/>
  <c r="GF37" i="4"/>
  <c r="GF36" i="4"/>
  <c r="GJ37" i="4"/>
  <c r="GJ35" i="4"/>
  <c r="GJ36" i="4"/>
  <c r="GJ33" i="4"/>
  <c r="GN35" i="4"/>
  <c r="GN37" i="4"/>
  <c r="GN36" i="4"/>
  <c r="GR37" i="4"/>
  <c r="GR35" i="4"/>
  <c r="GR36" i="4"/>
  <c r="GR33" i="4"/>
  <c r="GV35" i="4"/>
  <c r="GV37" i="4"/>
  <c r="GV36" i="4"/>
  <c r="GZ37" i="4"/>
  <c r="GZ35" i="4"/>
  <c r="GZ36" i="4"/>
  <c r="GZ33" i="4"/>
  <c r="HD35" i="4"/>
  <c r="HD37" i="4"/>
  <c r="HD36" i="4"/>
  <c r="HH37" i="4"/>
  <c r="HH35" i="4"/>
  <c r="HH36" i="4"/>
  <c r="HH33" i="4"/>
  <c r="HL35" i="4"/>
  <c r="HL37" i="4"/>
  <c r="HL36" i="4"/>
  <c r="HP37" i="4"/>
  <c r="HP35" i="4"/>
  <c r="HP36" i="4"/>
  <c r="HP33" i="4"/>
  <c r="HT35" i="4"/>
  <c r="HT37" i="4"/>
  <c r="HT36" i="4"/>
  <c r="HX37" i="4"/>
  <c r="HX35" i="4"/>
  <c r="HX36" i="4"/>
  <c r="HX33" i="4"/>
  <c r="IB35" i="4"/>
  <c r="IB37" i="4"/>
  <c r="IB36" i="4"/>
  <c r="IF37" i="4"/>
  <c r="IF35" i="4"/>
  <c r="IF36" i="4"/>
  <c r="IF33" i="4"/>
  <c r="IJ35" i="4"/>
  <c r="IJ37" i="4"/>
  <c r="IJ36" i="4"/>
  <c r="IN37" i="4"/>
  <c r="IN35" i="4"/>
  <c r="IN36" i="4"/>
  <c r="IN33" i="4"/>
  <c r="IR35" i="4"/>
  <c r="IR37" i="4"/>
  <c r="IR36" i="4"/>
  <c r="IV37" i="4"/>
  <c r="IV35" i="4"/>
  <c r="IV36" i="4"/>
  <c r="IV33" i="4"/>
  <c r="CF33" i="4"/>
  <c r="DL33" i="4"/>
  <c r="ER33" i="4"/>
  <c r="FX33" i="4"/>
  <c r="HD33" i="4"/>
  <c r="IJ33" i="4"/>
  <c r="E36" i="4"/>
  <c r="I36" i="4"/>
  <c r="M36" i="4"/>
  <c r="Q36" i="4"/>
  <c r="U36" i="4"/>
  <c r="Y36" i="4"/>
  <c r="AC36" i="4"/>
  <c r="AG36" i="4"/>
  <c r="AK36" i="4"/>
  <c r="AO36" i="4"/>
  <c r="AS36" i="4"/>
  <c r="AW36" i="4"/>
  <c r="BA36" i="4"/>
  <c r="BE36" i="4"/>
  <c r="BI36" i="4"/>
  <c r="BM36" i="4"/>
  <c r="BQ36" i="4"/>
  <c r="BU36" i="4"/>
  <c r="BY36" i="4"/>
  <c r="CC36" i="4"/>
  <c r="CG36" i="4"/>
  <c r="CK36" i="4"/>
  <c r="CO36" i="4"/>
  <c r="CS36" i="4"/>
  <c r="CW36" i="4"/>
  <c r="DA36" i="4"/>
  <c r="DE36" i="4"/>
  <c r="DI36" i="4"/>
  <c r="DM36" i="4"/>
  <c r="DQ36" i="4"/>
  <c r="DU36" i="4"/>
  <c r="DY36" i="4"/>
  <c r="EC36" i="4"/>
  <c r="EG36" i="4"/>
  <c r="EK36" i="4"/>
  <c r="EO36" i="4"/>
  <c r="ES36" i="4"/>
  <c r="EW36" i="4"/>
  <c r="FA36" i="4"/>
  <c r="FE36" i="4"/>
  <c r="FI36" i="4"/>
  <c r="FM36" i="4"/>
  <c r="FQ36" i="4"/>
  <c r="FU37" i="4"/>
  <c r="FU36" i="4"/>
  <c r="FY37" i="4"/>
  <c r="FY36" i="4"/>
  <c r="GC36" i="4"/>
  <c r="GG37" i="4"/>
  <c r="GG36" i="4"/>
  <c r="GK36" i="4"/>
  <c r="GO37" i="4"/>
  <c r="GO36" i="4"/>
  <c r="GS36" i="4"/>
  <c r="GW37" i="4"/>
  <c r="GW36" i="4"/>
  <c r="HA36" i="4"/>
  <c r="HE37" i="4"/>
  <c r="HE36" i="4"/>
  <c r="HI36" i="4"/>
  <c r="HM37" i="4"/>
  <c r="HM36" i="4"/>
  <c r="HQ36" i="4"/>
  <c r="HU37" i="4"/>
  <c r="HU36" i="4"/>
  <c r="HY36" i="4"/>
  <c r="IC37" i="4"/>
  <c r="IC36" i="4"/>
  <c r="IG36" i="4"/>
  <c r="IK37" i="4"/>
  <c r="IK36" i="4"/>
  <c r="IO36" i="4"/>
  <c r="IS37" i="4"/>
  <c r="IS36" i="4"/>
  <c r="G33" i="4"/>
  <c r="O33" i="4"/>
  <c r="S33" i="4"/>
  <c r="W33" i="4"/>
  <c r="AA33" i="4"/>
  <c r="AE33" i="4"/>
  <c r="AI33" i="4"/>
  <c r="AM33" i="4"/>
  <c r="AU33" i="4"/>
  <c r="AY33" i="4"/>
  <c r="BC33" i="4"/>
  <c r="BG33" i="4"/>
  <c r="BK33" i="4"/>
  <c r="BO33" i="4"/>
  <c r="BS33" i="4"/>
  <c r="CA33" i="4"/>
  <c r="CG33" i="4"/>
  <c r="CO33" i="4"/>
  <c r="CW33" i="4"/>
  <c r="DE33" i="4"/>
  <c r="DM33" i="4"/>
  <c r="DU33" i="4"/>
  <c r="EC33" i="4"/>
  <c r="EK33" i="4"/>
  <c r="ES33" i="4"/>
  <c r="FA33" i="4"/>
  <c r="FI33" i="4"/>
  <c r="FQ33" i="4"/>
  <c r="FY33" i="4"/>
  <c r="GG33" i="4"/>
  <c r="GO33" i="4"/>
  <c r="GW33" i="4"/>
  <c r="HE33" i="4"/>
  <c r="HM33" i="4"/>
  <c r="HU33" i="4"/>
  <c r="IC33" i="4"/>
  <c r="IK33" i="4"/>
  <c r="IS33" i="4"/>
  <c r="M35" i="4"/>
  <c r="AC35" i="4"/>
  <c r="AS35" i="4"/>
  <c r="BI35" i="4"/>
  <c r="BY35" i="4"/>
  <c r="CO35" i="4"/>
  <c r="DE35" i="4"/>
  <c r="DU35" i="4"/>
  <c r="EK35" i="4"/>
  <c r="FA35" i="4"/>
  <c r="FQ35" i="4"/>
  <c r="GG35" i="4"/>
  <c r="GW35" i="4"/>
  <c r="HM35" i="4"/>
  <c r="IC35" i="4"/>
  <c r="IS35" i="4"/>
  <c r="CQ36" i="4"/>
  <c r="DG36" i="4"/>
  <c r="DW36" i="4"/>
  <c r="EM36" i="4"/>
  <c r="FC36" i="4"/>
  <c r="FS36" i="4"/>
  <c r="GI36" i="4"/>
  <c r="GY36" i="4"/>
  <c r="HO36" i="4"/>
  <c r="IE36" i="4"/>
  <c r="IU36" i="4"/>
  <c r="Q37" i="4"/>
  <c r="AG37" i="4"/>
  <c r="AW37" i="4"/>
  <c r="BM37" i="4"/>
  <c r="CC37" i="4"/>
  <c r="CS37" i="4"/>
  <c r="DI37" i="4"/>
  <c r="DY37" i="4"/>
  <c r="EO37" i="4"/>
  <c r="FE37" i="4"/>
  <c r="FW37" i="4"/>
  <c r="HA37" i="4"/>
  <c r="IG37" i="4"/>
  <c r="F36" i="4"/>
  <c r="F37" i="4"/>
  <c r="F35" i="4"/>
  <c r="J36" i="4"/>
  <c r="J37" i="4"/>
  <c r="J35" i="4"/>
  <c r="N36" i="4"/>
  <c r="N37" i="4"/>
  <c r="N35" i="4"/>
  <c r="R36" i="4"/>
  <c r="R37" i="4"/>
  <c r="R35" i="4"/>
  <c r="V36" i="4"/>
  <c r="V37" i="4"/>
  <c r="V35" i="4"/>
  <c r="Z36" i="4"/>
  <c r="Z37" i="4"/>
  <c r="Z35" i="4"/>
  <c r="AD36" i="4"/>
  <c r="AD37" i="4"/>
  <c r="AD35" i="4"/>
  <c r="AH36" i="4"/>
  <c r="AH37" i="4"/>
  <c r="AH35" i="4"/>
  <c r="AL36" i="4"/>
  <c r="AL37" i="4"/>
  <c r="AL35" i="4"/>
  <c r="AP36" i="4"/>
  <c r="AP37" i="4"/>
  <c r="AP35" i="4"/>
  <c r="AT36" i="4"/>
  <c r="AT37" i="4"/>
  <c r="AT35" i="4"/>
  <c r="AX36" i="4"/>
  <c r="AX37" i="4"/>
  <c r="AX35" i="4"/>
  <c r="BB36" i="4"/>
  <c r="BB37" i="4"/>
  <c r="BB35" i="4"/>
  <c r="BF36" i="4"/>
  <c r="BF37" i="4"/>
  <c r="BF35" i="4"/>
  <c r="BJ36" i="4"/>
  <c r="BJ37" i="4"/>
  <c r="BJ35" i="4"/>
  <c r="BN36" i="4"/>
  <c r="BN37" i="4"/>
  <c r="BN35" i="4"/>
  <c r="BR36" i="4"/>
  <c r="BR37" i="4"/>
  <c r="BR35" i="4"/>
  <c r="BV36" i="4"/>
  <c r="BV37" i="4"/>
  <c r="BV35" i="4"/>
  <c r="BZ36" i="4"/>
  <c r="BZ37" i="4"/>
  <c r="BZ35" i="4"/>
  <c r="CD36" i="4"/>
  <c r="CD37" i="4"/>
  <c r="CD35" i="4"/>
  <c r="CD33" i="4"/>
  <c r="CH36" i="4"/>
  <c r="CH37" i="4"/>
  <c r="CH35" i="4"/>
  <c r="CH33" i="4"/>
  <c r="CL36" i="4"/>
  <c r="CL37" i="4"/>
  <c r="CL35" i="4"/>
  <c r="CL33" i="4"/>
  <c r="CP36" i="4"/>
  <c r="CP37" i="4"/>
  <c r="CP35" i="4"/>
  <c r="CP33" i="4"/>
  <c r="CT36" i="4"/>
  <c r="CT37" i="4"/>
  <c r="CT35" i="4"/>
  <c r="CT33" i="4"/>
  <c r="CX36" i="4"/>
  <c r="CX37" i="4"/>
  <c r="CX35" i="4"/>
  <c r="CX33" i="4"/>
  <c r="DB36" i="4"/>
  <c r="DB37" i="4"/>
  <c r="DB35" i="4"/>
  <c r="DB33" i="4"/>
  <c r="DF36" i="4"/>
  <c r="DF37" i="4"/>
  <c r="DF35" i="4"/>
  <c r="DF33" i="4"/>
  <c r="DJ36" i="4"/>
  <c r="DJ37" i="4"/>
  <c r="DJ35" i="4"/>
  <c r="DJ33" i="4"/>
  <c r="DN36" i="4"/>
  <c r="DN37" i="4"/>
  <c r="DN35" i="4"/>
  <c r="DN33" i="4"/>
  <c r="DR36" i="4"/>
  <c r="DR37" i="4"/>
  <c r="DR35" i="4"/>
  <c r="DR33" i="4"/>
  <c r="DV36" i="4"/>
  <c r="DV37" i="4"/>
  <c r="DV35" i="4"/>
  <c r="DV33" i="4"/>
  <c r="DZ36" i="4"/>
  <c r="DZ37" i="4"/>
  <c r="DZ35" i="4"/>
  <c r="DZ33" i="4"/>
  <c r="ED36" i="4"/>
  <c r="ED37" i="4"/>
  <c r="ED35" i="4"/>
  <c r="ED33" i="4"/>
  <c r="EH36" i="4"/>
  <c r="EH37" i="4"/>
  <c r="EH35" i="4"/>
  <c r="EH33" i="4"/>
  <c r="EL36" i="4"/>
  <c r="EL37" i="4"/>
  <c r="EL35" i="4"/>
  <c r="EL33" i="4"/>
  <c r="EP36" i="4"/>
  <c r="EP37" i="4"/>
  <c r="EP35" i="4"/>
  <c r="EP33" i="4"/>
  <c r="ET36" i="4"/>
  <c r="ET37" i="4"/>
  <c r="ET35" i="4"/>
  <c r="ET33" i="4"/>
  <c r="EX36" i="4"/>
  <c r="EX37" i="4"/>
  <c r="EX35" i="4"/>
  <c r="EX33" i="4"/>
  <c r="FB36" i="4"/>
  <c r="FB37" i="4"/>
  <c r="FB35" i="4"/>
  <c r="FB33" i="4"/>
  <c r="FF36" i="4"/>
  <c r="FF37" i="4"/>
  <c r="FF35" i="4"/>
  <c r="FF33" i="4"/>
  <c r="FJ36" i="4"/>
  <c r="FJ37" i="4"/>
  <c r="FJ35" i="4"/>
  <c r="FJ33" i="4"/>
  <c r="FN36" i="4"/>
  <c r="FN37" i="4"/>
  <c r="FN35" i="4"/>
  <c r="FN33" i="4"/>
  <c r="FR37" i="4"/>
  <c r="FR36" i="4"/>
  <c r="FR35" i="4"/>
  <c r="FR33" i="4"/>
  <c r="FV37" i="4"/>
  <c r="FV36" i="4"/>
  <c r="FV35" i="4"/>
  <c r="FV33" i="4"/>
  <c r="FZ37" i="4"/>
  <c r="FZ36" i="4"/>
  <c r="FZ35" i="4"/>
  <c r="FZ33" i="4"/>
  <c r="GD37" i="4"/>
  <c r="GD36" i="4"/>
  <c r="GD35" i="4"/>
  <c r="GD33" i="4"/>
  <c r="GH37" i="4"/>
  <c r="GH36" i="4"/>
  <c r="GH35" i="4"/>
  <c r="GH33" i="4"/>
  <c r="GL37" i="4"/>
  <c r="GL36" i="4"/>
  <c r="GL35" i="4"/>
  <c r="GL33" i="4"/>
  <c r="GP37" i="4"/>
  <c r="GP36" i="4"/>
  <c r="GP35" i="4"/>
  <c r="GP33" i="4"/>
  <c r="GT37" i="4"/>
  <c r="GT36" i="4"/>
  <c r="GT35" i="4"/>
  <c r="GT33" i="4"/>
  <c r="GX37" i="4"/>
  <c r="GX36" i="4"/>
  <c r="GX35" i="4"/>
  <c r="GX33" i="4"/>
  <c r="HB37" i="4"/>
  <c r="HB36" i="4"/>
  <c r="HB35" i="4"/>
  <c r="HB33" i="4"/>
  <c r="HF37" i="4"/>
  <c r="HF36" i="4"/>
  <c r="HF35" i="4"/>
  <c r="HF33" i="4"/>
  <c r="HJ37" i="4"/>
  <c r="HJ36" i="4"/>
  <c r="HJ35" i="4"/>
  <c r="HJ33" i="4"/>
  <c r="HN37" i="4"/>
  <c r="HN36" i="4"/>
  <c r="HN35" i="4"/>
  <c r="HN33" i="4"/>
  <c r="HR37" i="4"/>
  <c r="HR36" i="4"/>
  <c r="HR35" i="4"/>
  <c r="HR33" i="4"/>
  <c r="HV37" i="4"/>
  <c r="HV36" i="4"/>
  <c r="HV35" i="4"/>
  <c r="HV33" i="4"/>
  <c r="HZ37" i="4"/>
  <c r="HZ36" i="4"/>
  <c r="HZ35" i="4"/>
  <c r="HZ33" i="4"/>
  <c r="ID37" i="4"/>
  <c r="ID36" i="4"/>
  <c r="ID35" i="4"/>
  <c r="ID33" i="4"/>
  <c r="IH37" i="4"/>
  <c r="IH36" i="4"/>
  <c r="IH35" i="4"/>
  <c r="IH33" i="4"/>
  <c r="IL37" i="4"/>
  <c r="IL36" i="4"/>
  <c r="IL35" i="4"/>
  <c r="IL33" i="4"/>
  <c r="IP37" i="4"/>
  <c r="IP36" i="4"/>
  <c r="IP35" i="4"/>
  <c r="IP33" i="4"/>
  <c r="IT37" i="4"/>
  <c r="IT36" i="4"/>
  <c r="IT35" i="4"/>
  <c r="IT33" i="4"/>
  <c r="Q35" i="4"/>
  <c r="AG35" i="4"/>
  <c r="AW35" i="4"/>
  <c r="BM35" i="4"/>
  <c r="CC35" i="4"/>
  <c r="CS35" i="4"/>
  <c r="DI35" i="4"/>
  <c r="DY35" i="4"/>
  <c r="EO35" i="4"/>
  <c r="FE35" i="4"/>
  <c r="FU35" i="4"/>
  <c r="GK35" i="4"/>
  <c r="HA35" i="4"/>
  <c r="HQ35" i="4"/>
  <c r="IG35" i="4"/>
  <c r="E37" i="4"/>
  <c r="U37" i="4"/>
  <c r="AK37" i="4"/>
  <c r="BA37" i="4"/>
  <c r="BQ37" i="4"/>
  <c r="CG37" i="4"/>
  <c r="CW37" i="4"/>
  <c r="DM37" i="4"/>
  <c r="EC37" i="4"/>
  <c r="ES37" i="4"/>
  <c r="FI37" i="4"/>
  <c r="GC37" i="4"/>
  <c r="HI37" i="4"/>
  <c r="IO37" i="4"/>
  <c r="G37" i="4"/>
  <c r="G35" i="4"/>
  <c r="K37" i="4"/>
  <c r="K35" i="4"/>
  <c r="O37" i="4"/>
  <c r="O35" i="4"/>
  <c r="S37" i="4"/>
  <c r="S35" i="4"/>
  <c r="W37" i="4"/>
  <c r="W35" i="4"/>
  <c r="AA37" i="4"/>
  <c r="AA35" i="4"/>
  <c r="AE37" i="4"/>
  <c r="AE35" i="4"/>
  <c r="AI37" i="4"/>
  <c r="AI35" i="4"/>
  <c r="AM37" i="4"/>
  <c r="AM35" i="4"/>
  <c r="AQ37" i="4"/>
  <c r="AQ35" i="4"/>
  <c r="AU37" i="4"/>
  <c r="AU35" i="4"/>
  <c r="AY37" i="4"/>
  <c r="AY35" i="4"/>
  <c r="BC37" i="4"/>
  <c r="BC35" i="4"/>
  <c r="BG37" i="4"/>
  <c r="BG35" i="4"/>
  <c r="BK37" i="4"/>
  <c r="BK35" i="4"/>
  <c r="BO37" i="4"/>
  <c r="BO35" i="4"/>
  <c r="BS37" i="4"/>
  <c r="BS35" i="4"/>
  <c r="BW37" i="4"/>
  <c r="BW35" i="4"/>
  <c r="CA37" i="4"/>
  <c r="CA35" i="4"/>
  <c r="CE37" i="4"/>
  <c r="CE35" i="4"/>
  <c r="CE33" i="4"/>
  <c r="CI37" i="4"/>
  <c r="CI35" i="4"/>
  <c r="CI33" i="4"/>
  <c r="CM37" i="4"/>
  <c r="CM35" i="4"/>
  <c r="CM33" i="4"/>
  <c r="CQ37" i="4"/>
  <c r="CQ35" i="4"/>
  <c r="CQ33" i="4"/>
  <c r="CU37" i="4"/>
  <c r="CU35" i="4"/>
  <c r="CU33" i="4"/>
  <c r="CY37" i="4"/>
  <c r="CY35" i="4"/>
  <c r="CY33" i="4"/>
  <c r="DC37" i="4"/>
  <c r="DC35" i="4"/>
  <c r="DC33" i="4"/>
  <c r="DG37" i="4"/>
  <c r="DG35" i="4"/>
  <c r="DG33" i="4"/>
  <c r="DK37" i="4"/>
  <c r="DK35" i="4"/>
  <c r="DK33" i="4"/>
  <c r="DO37" i="4"/>
  <c r="DO35" i="4"/>
  <c r="DO33" i="4"/>
  <c r="DS37" i="4"/>
  <c r="DS35" i="4"/>
  <c r="DS33" i="4"/>
  <c r="DW37" i="4"/>
  <c r="DW35" i="4"/>
  <c r="DW33" i="4"/>
  <c r="EA37" i="4"/>
  <c r="EA35" i="4"/>
  <c r="EA33" i="4"/>
  <c r="EE37" i="4"/>
  <c r="EE35" i="4"/>
  <c r="EE33" i="4"/>
  <c r="EI37" i="4"/>
  <c r="EI35" i="4"/>
  <c r="EI33" i="4"/>
  <c r="EM37" i="4"/>
  <c r="EM35" i="4"/>
  <c r="EM33" i="4"/>
  <c r="EQ37" i="4"/>
  <c r="EQ35" i="4"/>
  <c r="EQ33" i="4"/>
  <c r="EU37" i="4"/>
  <c r="EU35" i="4"/>
  <c r="EU33" i="4"/>
  <c r="EY37" i="4"/>
  <c r="EY35" i="4"/>
  <c r="EY33" i="4"/>
  <c r="FC37" i="4"/>
  <c r="FC35" i="4"/>
  <c r="FC33" i="4"/>
  <c r="FG37" i="4"/>
  <c r="FG35" i="4"/>
  <c r="FG33" i="4"/>
  <c r="FK37" i="4"/>
  <c r="FK35" i="4"/>
  <c r="FK33" i="4"/>
  <c r="FO37" i="4"/>
  <c r="FO35" i="4"/>
  <c r="FO33" i="4"/>
  <c r="FS35" i="4"/>
  <c r="FS33" i="4"/>
  <c r="FS37" i="4"/>
  <c r="FW35" i="4"/>
  <c r="FW33" i="4"/>
  <c r="GA37" i="4"/>
  <c r="GA35" i="4"/>
  <c r="GA33" i="4"/>
  <c r="GE37" i="4"/>
  <c r="GE35" i="4"/>
  <c r="GE33" i="4"/>
  <c r="GI37" i="4"/>
  <c r="GI35" i="4"/>
  <c r="GI33" i="4"/>
  <c r="GM37" i="4"/>
  <c r="GM35" i="4"/>
  <c r="GM33" i="4"/>
  <c r="GQ37" i="4"/>
  <c r="GQ35" i="4"/>
  <c r="GQ33" i="4"/>
  <c r="GU37" i="4"/>
  <c r="GU35" i="4"/>
  <c r="GU33" i="4"/>
  <c r="GY37" i="4"/>
  <c r="GY35" i="4"/>
  <c r="GY33" i="4"/>
  <c r="HC37" i="4"/>
  <c r="HC35" i="4"/>
  <c r="HC33" i="4"/>
  <c r="HG37" i="4"/>
  <c r="HG35" i="4"/>
  <c r="HG33" i="4"/>
  <c r="HK37" i="4"/>
  <c r="HK35" i="4"/>
  <c r="HK33" i="4"/>
  <c r="HO37" i="4"/>
  <c r="HO35" i="4"/>
  <c r="HO33" i="4"/>
  <c r="HS37" i="4"/>
  <c r="HS35" i="4"/>
  <c r="HS33" i="4"/>
  <c r="HW37" i="4"/>
  <c r="HW35" i="4"/>
  <c r="HW33" i="4"/>
  <c r="IA37" i="4"/>
  <c r="IA35" i="4"/>
  <c r="IA33" i="4"/>
  <c r="IE37" i="4"/>
  <c r="IE35" i="4"/>
  <c r="IE33" i="4"/>
  <c r="II37" i="4"/>
  <c r="II35" i="4"/>
  <c r="II33" i="4"/>
  <c r="IM37" i="4"/>
  <c r="IM35" i="4"/>
  <c r="IM33" i="4"/>
  <c r="IQ37" i="4"/>
  <c r="IQ35" i="4"/>
  <c r="IQ33" i="4"/>
  <c r="IU37" i="4"/>
  <c r="IU35" i="4"/>
  <c r="IU33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BE33" i="4"/>
  <c r="BI33" i="4"/>
  <c r="BM33" i="4"/>
  <c r="BQ33" i="4"/>
  <c r="BU33" i="4"/>
  <c r="BY33" i="4"/>
  <c r="CC33" i="4"/>
  <c r="CK33" i="4"/>
  <c r="CS33" i="4"/>
  <c r="DA33" i="4"/>
  <c r="DI33" i="4"/>
  <c r="DQ33" i="4"/>
  <c r="DY33" i="4"/>
  <c r="EG33" i="4"/>
  <c r="EO33" i="4"/>
  <c r="EW33" i="4"/>
  <c r="FE33" i="4"/>
  <c r="FM33" i="4"/>
  <c r="FU33" i="4"/>
  <c r="GC33" i="4"/>
  <c r="GK33" i="4"/>
  <c r="GS33" i="4"/>
  <c r="HA33" i="4"/>
  <c r="HI33" i="4"/>
  <c r="HQ33" i="4"/>
  <c r="HY33" i="4"/>
  <c r="IG33" i="4"/>
  <c r="IO33" i="4"/>
  <c r="E35" i="4"/>
  <c r="U35" i="4"/>
  <c r="AK35" i="4"/>
  <c r="BA35" i="4"/>
  <c r="BQ35" i="4"/>
  <c r="CG35" i="4"/>
  <c r="CW35" i="4"/>
  <c r="DM35" i="4"/>
  <c r="EC35" i="4"/>
  <c r="ES35" i="4"/>
  <c r="FI35" i="4"/>
  <c r="FY35" i="4"/>
  <c r="GO35" i="4"/>
  <c r="HE35" i="4"/>
  <c r="HU35" i="4"/>
  <c r="IK35" i="4"/>
  <c r="G36" i="4"/>
  <c r="W36" i="4"/>
  <c r="AM36" i="4"/>
  <c r="BC36" i="4"/>
  <c r="BS36" i="4"/>
  <c r="CI36" i="4"/>
  <c r="CY36" i="4"/>
  <c r="DO36" i="4"/>
  <c r="EE36" i="4"/>
  <c r="EU36" i="4"/>
  <c r="FK36" i="4"/>
  <c r="GA36" i="4"/>
  <c r="GQ36" i="4"/>
  <c r="HG36" i="4"/>
  <c r="HW36" i="4"/>
  <c r="IM36" i="4"/>
  <c r="I37" i="4"/>
  <c r="Y37" i="4"/>
  <c r="AO37" i="4"/>
  <c r="BE37" i="4"/>
  <c r="BU37" i="4"/>
  <c r="CK37" i="4"/>
  <c r="DA37" i="4"/>
  <c r="DQ37" i="4"/>
  <c r="EG37" i="4"/>
  <c r="EW37" i="4"/>
  <c r="FM37" i="4"/>
  <c r="GK37" i="4"/>
  <c r="HQ37" i="4"/>
  <c r="E45" i="4"/>
  <c r="I45" i="4"/>
  <c r="I46" i="4"/>
  <c r="M45" i="4"/>
  <c r="Q45" i="4"/>
  <c r="Q46" i="4"/>
  <c r="U45" i="4"/>
  <c r="U46" i="4"/>
  <c r="Y46" i="4"/>
  <c r="Y45" i="4"/>
  <c r="AC45" i="4"/>
  <c r="AG45" i="4"/>
  <c r="AG46" i="4"/>
  <c r="AK45" i="4"/>
  <c r="AK46" i="4"/>
  <c r="AO46" i="4"/>
  <c r="AO45" i="4"/>
  <c r="AS45" i="4"/>
  <c r="AW45" i="4"/>
  <c r="AW46" i="4"/>
  <c r="AC46" i="4"/>
  <c r="AS46" i="4"/>
  <c r="E46" i="4"/>
  <c r="G45" i="4"/>
  <c r="S45" i="4"/>
  <c r="W45" i="4"/>
  <c r="AI45" i="4"/>
  <c r="AM45" i="4"/>
  <c r="AY45" i="4"/>
  <c r="BC45" i="4"/>
  <c r="BO45" i="4"/>
  <c r="BS45" i="4"/>
  <c r="CE45" i="4"/>
  <c r="CI45" i="4"/>
  <c r="CU45" i="4"/>
  <c r="CY45" i="4"/>
  <c r="DK45" i="4"/>
  <c r="DO45" i="4"/>
  <c r="EA45" i="4"/>
  <c r="EE45" i="4"/>
  <c r="EQ45" i="4"/>
  <c r="EU45" i="4"/>
  <c r="FG45" i="4"/>
  <c r="FK45" i="4"/>
  <c r="FW45" i="4"/>
  <c r="GA45" i="4"/>
  <c r="GM45" i="4"/>
  <c r="GQ45" i="4"/>
  <c r="HC45" i="4"/>
  <c r="HG45" i="4"/>
  <c r="HS45" i="4"/>
  <c r="HW45" i="4"/>
  <c r="II45" i="4"/>
  <c r="IM45" i="4"/>
  <c r="BM46" i="4"/>
  <c r="CC46" i="4"/>
  <c r="CS46" i="4"/>
  <c r="DI46" i="4"/>
  <c r="DY46" i="4"/>
  <c r="EO46" i="4"/>
  <c r="FE46" i="4"/>
  <c r="FU46" i="4"/>
  <c r="GK46" i="4"/>
  <c r="HA46" i="4"/>
  <c r="HQ46" i="4"/>
  <c r="IG46" i="4"/>
  <c r="F46" i="4"/>
  <c r="J46" i="4"/>
  <c r="N46" i="4"/>
  <c r="R46" i="4"/>
  <c r="V46" i="4"/>
  <c r="Z46" i="4"/>
  <c r="AD46" i="4"/>
  <c r="AH46" i="4"/>
  <c r="AL46" i="4"/>
  <c r="AP46" i="4"/>
  <c r="AT46" i="4"/>
  <c r="AX46" i="4"/>
  <c r="BB46" i="4"/>
  <c r="BF46" i="4"/>
  <c r="BJ46" i="4"/>
  <c r="BN46" i="4"/>
  <c r="BR46" i="4"/>
  <c r="BV46" i="4"/>
  <c r="BZ46" i="4"/>
  <c r="CD46" i="4"/>
  <c r="CH46" i="4"/>
  <c r="CL46" i="4"/>
  <c r="CP46" i="4"/>
  <c r="CT46" i="4"/>
  <c r="CX46" i="4"/>
  <c r="DB46" i="4"/>
  <c r="DF46" i="4"/>
  <c r="DJ46" i="4"/>
  <c r="DN46" i="4"/>
  <c r="DR46" i="4"/>
  <c r="DV46" i="4"/>
  <c r="DZ46" i="4"/>
  <c r="ED46" i="4"/>
  <c r="EH46" i="4"/>
  <c r="EL46" i="4"/>
  <c r="EP46" i="4"/>
  <c r="ET46" i="4"/>
  <c r="EX46" i="4"/>
  <c r="FB46" i="4"/>
  <c r="FF46" i="4"/>
  <c r="FJ46" i="4"/>
  <c r="FN46" i="4"/>
  <c r="FR46" i="4"/>
  <c r="FV46" i="4"/>
  <c r="FZ46" i="4"/>
  <c r="GD46" i="4"/>
  <c r="GH46" i="4"/>
  <c r="GL46" i="4"/>
  <c r="GP46" i="4"/>
  <c r="GT46" i="4"/>
  <c r="GX46" i="4"/>
  <c r="HB46" i="4"/>
  <c r="HF46" i="4"/>
  <c r="HJ46" i="4"/>
  <c r="HN46" i="4"/>
  <c r="HR46" i="4"/>
  <c r="HV46" i="4"/>
  <c r="HZ46" i="4"/>
  <c r="ID46" i="4"/>
  <c r="IH46" i="4"/>
  <c r="IL46" i="4"/>
  <c r="IP46" i="4"/>
  <c r="IT46" i="4"/>
  <c r="BA46" i="4"/>
  <c r="BQ46" i="4"/>
  <c r="CG46" i="4"/>
  <c r="CW46" i="4"/>
  <c r="DM46" i="4"/>
  <c r="EC46" i="4"/>
  <c r="ES46" i="4"/>
  <c r="FI46" i="4"/>
  <c r="FY46" i="4"/>
  <c r="GO46" i="4"/>
  <c r="HE46" i="4"/>
  <c r="HU46" i="4"/>
  <c r="IK46" i="4"/>
  <c r="G46" i="4"/>
  <c r="K46" i="4"/>
  <c r="O46" i="4"/>
  <c r="S46" i="4"/>
  <c r="W46" i="4"/>
  <c r="AA46" i="4"/>
  <c r="AE46" i="4"/>
  <c r="AI46" i="4"/>
  <c r="AM46" i="4"/>
  <c r="AQ46" i="4"/>
  <c r="AU46" i="4"/>
  <c r="AY46" i="4"/>
  <c r="BC46" i="4"/>
  <c r="BG46" i="4"/>
  <c r="BK46" i="4"/>
  <c r="BO46" i="4"/>
  <c r="BS46" i="4"/>
  <c r="BW46" i="4"/>
  <c r="CA46" i="4"/>
  <c r="CE46" i="4"/>
  <c r="CI46" i="4"/>
  <c r="CM46" i="4"/>
  <c r="CQ46" i="4"/>
  <c r="CU46" i="4"/>
  <c r="CY46" i="4"/>
  <c r="DC46" i="4"/>
  <c r="DG46" i="4"/>
  <c r="DK46" i="4"/>
  <c r="DO46" i="4"/>
  <c r="DS46" i="4"/>
  <c r="DW46" i="4"/>
  <c r="EA46" i="4"/>
  <c r="EE46" i="4"/>
  <c r="EI46" i="4"/>
  <c r="EM46" i="4"/>
  <c r="EQ46" i="4"/>
  <c r="EU46" i="4"/>
  <c r="EY46" i="4"/>
  <c r="FC46" i="4"/>
  <c r="FG46" i="4"/>
  <c r="FK46" i="4"/>
  <c r="FO46" i="4"/>
  <c r="FS46" i="4"/>
  <c r="FW46" i="4"/>
  <c r="GA46" i="4"/>
  <c r="GE46" i="4"/>
  <c r="GI46" i="4"/>
  <c r="GM46" i="4"/>
  <c r="GQ46" i="4"/>
  <c r="GU46" i="4"/>
  <c r="GY46" i="4"/>
  <c r="HC46" i="4"/>
  <c r="HG46" i="4"/>
  <c r="HK46" i="4"/>
  <c r="HO46" i="4"/>
  <c r="HS46" i="4"/>
  <c r="HW46" i="4"/>
  <c r="IA46" i="4"/>
  <c r="IE46" i="4"/>
  <c r="II46" i="4"/>
  <c r="IM46" i="4"/>
  <c r="IQ46" i="4"/>
  <c r="IU46" i="4"/>
  <c r="BA45" i="4"/>
  <c r="BE45" i="4"/>
  <c r="BI45" i="4"/>
  <c r="BM45" i="4"/>
  <c r="BQ45" i="4"/>
  <c r="BU45" i="4"/>
  <c r="BY45" i="4"/>
  <c r="CC45" i="4"/>
  <c r="CG45" i="4"/>
  <c r="CK45" i="4"/>
  <c r="CO45" i="4"/>
  <c r="CS45" i="4"/>
  <c r="CW45" i="4"/>
  <c r="DA45" i="4"/>
  <c r="DE45" i="4"/>
  <c r="DI45" i="4"/>
  <c r="DM45" i="4"/>
  <c r="DQ45" i="4"/>
  <c r="DU45" i="4"/>
  <c r="DY45" i="4"/>
  <c r="EC45" i="4"/>
  <c r="EG45" i="4"/>
  <c r="EK45" i="4"/>
  <c r="EO45" i="4"/>
  <c r="ES45" i="4"/>
  <c r="EW45" i="4"/>
  <c r="FA45" i="4"/>
  <c r="FE45" i="4"/>
  <c r="FI45" i="4"/>
  <c r="FM45" i="4"/>
  <c r="FQ45" i="4"/>
  <c r="FU45" i="4"/>
  <c r="FY45" i="4"/>
  <c r="GC45" i="4"/>
  <c r="GG45" i="4"/>
  <c r="GK45" i="4"/>
  <c r="GO45" i="4"/>
  <c r="GS45" i="4"/>
  <c r="GW45" i="4"/>
  <c r="HA45" i="4"/>
  <c r="HE45" i="4"/>
  <c r="HI45" i="4"/>
  <c r="HM45" i="4"/>
  <c r="HQ45" i="4"/>
  <c r="HU45" i="4"/>
  <c r="HY45" i="4"/>
  <c r="IC45" i="4"/>
  <c r="IG45" i="4"/>
  <c r="IK45" i="4"/>
  <c r="IO45" i="4"/>
  <c r="IS45" i="4"/>
  <c r="BE46" i="4"/>
  <c r="BU46" i="4"/>
  <c r="CK46" i="4"/>
  <c r="DA46" i="4"/>
  <c r="DQ46" i="4"/>
  <c r="EG46" i="4"/>
  <c r="EW46" i="4"/>
  <c r="FM46" i="4"/>
  <c r="GC46" i="4"/>
  <c r="GS46" i="4"/>
  <c r="HI46" i="4"/>
  <c r="HY46" i="4"/>
  <c r="IO46" i="4"/>
</calcChain>
</file>

<file path=xl/sharedStrings.xml><?xml version="1.0" encoding="utf-8"?>
<sst xmlns="http://schemas.openxmlformats.org/spreadsheetml/2006/main" count="50" uniqueCount="38">
  <si>
    <t>Activity</t>
  </si>
  <si>
    <t>EthicsAuthority</t>
  </si>
  <si>
    <t>EthicsApprovalID</t>
  </si>
  <si>
    <t>Method</t>
  </si>
  <si>
    <t>Protocol</t>
  </si>
  <si>
    <t>Preparation</t>
  </si>
  <si>
    <t>Description</t>
  </si>
  <si>
    <t>Dataset</t>
  </si>
  <si>
    <t>SpecimenGroup</t>
  </si>
  <si>
    <t>LicenseType</t>
  </si>
  <si>
    <t>LicenseID</t>
  </si>
  <si>
    <t>ReleaseDate</t>
  </si>
  <si>
    <t>EmbargoStatus</t>
  </si>
  <si>
    <t>Format</t>
  </si>
  <si>
    <t>ReferenceSpace</t>
  </si>
  <si>
    <t>ParcellationAtlas</t>
  </si>
  <si>
    <t>Region</t>
  </si>
  <si>
    <t>Owner</t>
  </si>
  <si>
    <t>Contributor</t>
  </si>
  <si>
    <t>DataLink</t>
  </si>
  <si>
    <t>DatasetDOI</t>
  </si>
  <si>
    <t>PublicationDOI</t>
  </si>
  <si>
    <t>Files</t>
  </si>
  <si>
    <t>SubjectID</t>
  </si>
  <si>
    <t>Species</t>
  </si>
  <si>
    <t>Sex</t>
  </si>
  <si>
    <t>Age</t>
  </si>
  <si>
    <t>AgeCategory</t>
  </si>
  <si>
    <t>SampleID</t>
  </si>
  <si>
    <t>ComponentID</t>
  </si>
  <si>
    <t>CauseOfDeath</t>
  </si>
  <si>
    <t>DoB</t>
  </si>
  <si>
    <t>DoD</t>
  </si>
  <si>
    <t>WeightPreFix</t>
  </si>
  <si>
    <t>WeightPostFix</t>
  </si>
  <si>
    <t>Fixation</t>
  </si>
  <si>
    <t>Embedding</t>
  </si>
  <si>
    <t>Staining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</si>
</sst>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7">
    <xf numFmtId="0" fontId="0" fillId="0" borderId="0" xfId="0"/>
    <xf numFmtId="0" fontId="2" fillId="0" borderId="0" xfId="2" applyFont="1"/>
    <xf numFmtId="0" fontId="3" fillId="0" borderId="0" xfId="2"/>
    <xf numFmtId="0" fontId="3" fillId="0" borderId="0" xfId="2" applyFont="1" applyAlignment="1"/>
    <xf numFmtId="0" fontId="2" fillId="0" borderId="0" xfId="2" applyFont="1" applyAlignment="1"/>
    <xf numFmtId="0" fontId="1" fillId="0" borderId="0" xfId="2" applyFont="1" applyAlignment="1"/>
    <xf numFmtId="0" fontId="3" fillId="2" borderId="0" xfId="2" applyFill="1"/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V62"/>
  <sheetViews>
    <sheetView tabSelected="1" zoomScaleNormal="100" workbookViewId="0"/>
  </sheetViews>
  <sheetFormatPr defaultColWidth="15.7109375" defaultRowHeight="12.75" x14ac:dyDescent="0.2"/>
  <cols>
    <col min="1" max="16384" width="15.7109375" style="2"/>
  </cols>
  <sheetData>
    <row r="1" spans="1:256" x14ac:dyDescent="0.2">
      <c r="A1" s="1" t="s">
        <v>29</v>
      </c>
      <c r="B1" s="6">
        <f>MINDS!$C$19</f>
        <v>0</v>
      </c>
    </row>
    <row r="2" spans="1:256" x14ac:dyDescent="0.2">
      <c r="A2" s="3"/>
    </row>
    <row r="3" spans="1:256" x14ac:dyDescent="0.2">
      <c r="A3" s="4" t="s">
        <v>8</v>
      </c>
      <c r="B3" s="6" t="e">
        <f>COLUMNS(SubjectLookup)/2</f>
        <v>#NAME?</v>
      </c>
    </row>
    <row r="4" spans="1:256" x14ac:dyDescent="0.2">
      <c r="A4" s="3" t="str">
        <f>A3&amp;"ID"</f>
        <v>SpecimenGroupID</v>
      </c>
      <c r="C4" s="2" t="str">
        <f>IF(MINDS!C$72&lt;&gt;"",MINDS!C$72,"")</f>
        <v/>
      </c>
      <c r="D4" s="2" t="str">
        <f>IF(MINDS!D$72&lt;&gt;"",MINDS!D$72,"")</f>
        <v/>
      </c>
      <c r="E4" s="2" t="str">
        <f>IF(MINDS!E$72&lt;&gt;"",MINDS!E$72,"")</f>
        <v/>
      </c>
      <c r="F4" s="2" t="str">
        <f>IF(MINDS!F$72&lt;&gt;"",MINDS!F$72,"")</f>
        <v/>
      </c>
      <c r="G4" s="2" t="str">
        <f>IF(MINDS!G$72&lt;&gt;"",MINDS!G$72,"")</f>
        <v/>
      </c>
      <c r="H4" s="2" t="str">
        <f>IF(MINDS!H$72&lt;&gt;"",MINDS!H$72,"")</f>
        <v/>
      </c>
      <c r="I4" s="2" t="str">
        <f>IF(MINDS!I$72&lt;&gt;"",MINDS!I$72,"")</f>
        <v/>
      </c>
      <c r="J4" s="2" t="str">
        <f>IF(MINDS!J$72&lt;&gt;"",MINDS!J$72,"")</f>
        <v/>
      </c>
      <c r="K4" s="2" t="str">
        <f>IF(MINDS!K$72&lt;&gt;"",MINDS!K$72,"")</f>
        <v/>
      </c>
      <c r="L4" s="2" t="str">
        <f>IF(MINDS!L$72&lt;&gt;"",MINDS!L$72,"")</f>
        <v/>
      </c>
      <c r="M4" s="2" t="str">
        <f>IF(MINDS!M$72&lt;&gt;"",MINDS!M$72,"")</f>
        <v/>
      </c>
      <c r="N4" s="2" t="str">
        <f>IF(MINDS!N$72&lt;&gt;"",MINDS!N$72,"")</f>
        <v/>
      </c>
      <c r="O4" s="2" t="str">
        <f>IF(MINDS!O$72&lt;&gt;"",MINDS!O$72,"")</f>
        <v/>
      </c>
      <c r="P4" s="2" t="str">
        <f>IF(MINDS!P$72&lt;&gt;"",MINDS!P$72,"")</f>
        <v/>
      </c>
      <c r="Q4" s="2" t="str">
        <f>IF(MINDS!Q$72&lt;&gt;"",MINDS!Q$72,"")</f>
        <v/>
      </c>
      <c r="R4" s="2" t="str">
        <f>IF(MINDS!R$72&lt;&gt;"",MINDS!R$72,"")</f>
        <v/>
      </c>
      <c r="S4" s="2" t="str">
        <f>IF(MINDS!S$72&lt;&gt;"",MINDS!S$72,"")</f>
        <v/>
      </c>
      <c r="T4" s="2" t="str">
        <f>IF(MINDS!T$72&lt;&gt;"",MINDS!T$72,"")</f>
        <v/>
      </c>
      <c r="U4" s="2" t="str">
        <f>IF(MINDS!U$72&lt;&gt;"",MINDS!U$72,"")</f>
        <v/>
      </c>
      <c r="V4" s="2" t="str">
        <f>IF(MINDS!V$72&lt;&gt;"",MINDS!V$72,"")</f>
        <v/>
      </c>
      <c r="W4" s="2" t="str">
        <f>IF(MINDS!W$72&lt;&gt;"",MINDS!W$72,"")</f>
        <v/>
      </c>
      <c r="X4" s="2" t="str">
        <f>IF(MINDS!X$72&lt;&gt;"",MINDS!X$72,"")</f>
        <v/>
      </c>
      <c r="Y4" s="2" t="str">
        <f>IF(MINDS!Y$72&lt;&gt;"",MINDS!Y$72,"")</f>
        <v/>
      </c>
      <c r="Z4" s="2" t="str">
        <f>IF(MINDS!Z$72&lt;&gt;"",MINDS!Z$72,"")</f>
        <v/>
      </c>
      <c r="AA4" s="2" t="str">
        <f>IF(MINDS!AA$72&lt;&gt;"",MINDS!AA$72,"")</f>
        <v/>
      </c>
      <c r="AB4" s="2" t="str">
        <f>IF(MINDS!AB$72&lt;&gt;"",MINDS!AB$72,"")</f>
        <v/>
      </c>
      <c r="AC4" s="2" t="str">
        <f>IF(MINDS!AC$72&lt;&gt;"",MINDS!AC$72,"")</f>
        <v/>
      </c>
      <c r="AD4" s="2" t="str">
        <f>IF(MINDS!AD$72&lt;&gt;"",MINDS!AD$72,"")</f>
        <v/>
      </c>
      <c r="AE4" s="2" t="str">
        <f>IF(MINDS!AE$72&lt;&gt;"",MINDS!AE$72,"")</f>
        <v/>
      </c>
      <c r="AF4" s="2" t="str">
        <f>IF(MINDS!AF$72&lt;&gt;"",MINDS!AF$72,"")</f>
        <v/>
      </c>
      <c r="AG4" s="2" t="str">
        <f>IF(MINDS!AG$72&lt;&gt;"",MINDS!AG$72,"")</f>
        <v/>
      </c>
      <c r="AH4" s="2" t="str">
        <f>IF(MINDS!AH$72&lt;&gt;"",MINDS!AH$72,"")</f>
        <v/>
      </c>
      <c r="AI4" s="2" t="str">
        <f>IF(MINDS!AI$72&lt;&gt;"",MINDS!AI$72,"")</f>
        <v/>
      </c>
      <c r="AJ4" s="2" t="str">
        <f>IF(MINDS!AJ$72&lt;&gt;"",MINDS!AJ$72,"")</f>
        <v/>
      </c>
      <c r="AK4" s="2" t="str">
        <f>IF(MINDS!AK$72&lt;&gt;"",MINDS!AK$72,"")</f>
        <v/>
      </c>
      <c r="AL4" s="2" t="str">
        <f>IF(MINDS!AL$72&lt;&gt;"",MINDS!AL$72,"")</f>
        <v/>
      </c>
      <c r="AM4" s="2" t="str">
        <f>IF(MINDS!AM$72&lt;&gt;"",MINDS!AM$72,"")</f>
        <v/>
      </c>
      <c r="AN4" s="2" t="str">
        <f>IF(MINDS!AN$72&lt;&gt;"",MINDS!AN$72,"")</f>
        <v/>
      </c>
      <c r="AO4" s="2" t="str">
        <f>IF(MINDS!AO$72&lt;&gt;"",MINDS!AO$72,"")</f>
        <v/>
      </c>
      <c r="AP4" s="2" t="str">
        <f>IF(MINDS!AP$72&lt;&gt;"",MINDS!AP$72,"")</f>
        <v/>
      </c>
      <c r="AQ4" s="2" t="str">
        <f>IF(MINDS!AQ$72&lt;&gt;"",MINDS!AQ$72,"")</f>
        <v/>
      </c>
      <c r="AR4" s="2" t="str">
        <f>IF(MINDS!AR$72&lt;&gt;"",MINDS!AR$72,"")</f>
        <v/>
      </c>
      <c r="AS4" s="2" t="str">
        <f>IF(MINDS!AS$72&lt;&gt;"",MINDS!AS$72,"")</f>
        <v/>
      </c>
      <c r="AT4" s="2" t="str">
        <f>IF(MINDS!AT$72&lt;&gt;"",MINDS!AT$72,"")</f>
        <v/>
      </c>
      <c r="AU4" s="2" t="str">
        <f>IF(MINDS!AU$72&lt;&gt;"",MINDS!AU$72,"")</f>
        <v/>
      </c>
      <c r="AV4" s="2" t="str">
        <f>IF(MINDS!AV$72&lt;&gt;"",MINDS!AV$72,"")</f>
        <v/>
      </c>
      <c r="AW4" s="2" t="str">
        <f>IF(MINDS!AW$72&lt;&gt;"",MINDS!AW$72,"")</f>
        <v/>
      </c>
      <c r="AX4" s="2" t="str">
        <f>IF(MINDS!AX$72&lt;&gt;"",MINDS!AX$72,"")</f>
        <v/>
      </c>
      <c r="AY4" s="2" t="str">
        <f>IF(MINDS!AY$72&lt;&gt;"",MINDS!AY$72,"")</f>
        <v/>
      </c>
      <c r="AZ4" s="2" t="str">
        <f>IF(MINDS!AZ$72&lt;&gt;"",MINDS!AZ$72,"")</f>
        <v/>
      </c>
      <c r="BA4" s="2" t="str">
        <f>IF(MINDS!BA$72&lt;&gt;"",MINDS!BA$72,"")</f>
        <v/>
      </c>
      <c r="BB4" s="2" t="str">
        <f>IF(MINDS!BB$72&lt;&gt;"",MINDS!BB$72,"")</f>
        <v/>
      </c>
      <c r="BC4" s="2" t="str">
        <f>IF(MINDS!BC$72&lt;&gt;"",MINDS!BC$72,"")</f>
        <v/>
      </c>
      <c r="BD4" s="2" t="str">
        <f>IF(MINDS!BD$72&lt;&gt;"",MINDS!BD$72,"")</f>
        <v/>
      </c>
      <c r="BE4" s="2" t="str">
        <f>IF(MINDS!BE$72&lt;&gt;"",MINDS!BE$72,"")</f>
        <v/>
      </c>
      <c r="BF4" s="2" t="str">
        <f>IF(MINDS!BF$72&lt;&gt;"",MINDS!BF$72,"")</f>
        <v/>
      </c>
      <c r="BG4" s="2" t="str">
        <f>IF(MINDS!BG$72&lt;&gt;"",MINDS!BG$72,"")</f>
        <v/>
      </c>
      <c r="BH4" s="2" t="str">
        <f>IF(MINDS!BH$72&lt;&gt;"",MINDS!BH$72,"")</f>
        <v/>
      </c>
      <c r="BI4" s="2" t="str">
        <f>IF(MINDS!BI$72&lt;&gt;"",MINDS!BI$72,"")</f>
        <v/>
      </c>
      <c r="BJ4" s="2" t="str">
        <f>IF(MINDS!BJ$72&lt;&gt;"",MINDS!BJ$72,"")</f>
        <v/>
      </c>
      <c r="BK4" s="2" t="str">
        <f>IF(MINDS!BK$72&lt;&gt;"",MINDS!BK$72,"")</f>
        <v/>
      </c>
      <c r="BL4" s="2" t="str">
        <f>IF(MINDS!BL$72&lt;&gt;"",MINDS!BL$72,"")</f>
        <v/>
      </c>
      <c r="BM4" s="2" t="str">
        <f>IF(MINDS!BM$72&lt;&gt;"",MINDS!BM$72,"")</f>
        <v/>
      </c>
      <c r="BN4" s="2" t="str">
        <f>IF(MINDS!BN$72&lt;&gt;"",MINDS!BN$72,"")</f>
        <v/>
      </c>
      <c r="BO4" s="2" t="str">
        <f>IF(MINDS!BO$72&lt;&gt;"",MINDS!BO$72,"")</f>
        <v/>
      </c>
      <c r="BP4" s="2" t="str">
        <f>IF(MINDS!BP$72&lt;&gt;"",MINDS!BP$72,"")</f>
        <v/>
      </c>
      <c r="BQ4" s="2" t="str">
        <f>IF(MINDS!BQ$72&lt;&gt;"",MINDS!BQ$72,"")</f>
        <v/>
      </c>
      <c r="BR4" s="2" t="str">
        <f>IF(MINDS!BR$72&lt;&gt;"",MINDS!BR$72,"")</f>
        <v/>
      </c>
      <c r="BS4" s="2" t="str">
        <f>IF(MINDS!BS$72&lt;&gt;"",MINDS!BS$72,"")</f>
        <v/>
      </c>
      <c r="BT4" s="2" t="str">
        <f>IF(MINDS!BT$72&lt;&gt;"",MINDS!BT$72,"")</f>
        <v/>
      </c>
      <c r="BU4" s="2" t="str">
        <f>IF(MINDS!BU$72&lt;&gt;"",MINDS!BU$72,"")</f>
        <v/>
      </c>
      <c r="BV4" s="2" t="str">
        <f>IF(MINDS!BV$72&lt;&gt;"",MINDS!BV$72,"")</f>
        <v/>
      </c>
      <c r="BW4" s="2" t="str">
        <f>IF(MINDS!BW$72&lt;&gt;"",MINDS!BW$72,"")</f>
        <v/>
      </c>
      <c r="BX4" s="2" t="str">
        <f>IF(MINDS!BX$72&lt;&gt;"",MINDS!BX$72,"")</f>
        <v/>
      </c>
      <c r="BY4" s="2" t="str">
        <f>IF(MINDS!BY$72&lt;&gt;"",MINDS!BY$72,"")</f>
        <v/>
      </c>
      <c r="BZ4" s="2" t="str">
        <f>IF(MINDS!BZ$72&lt;&gt;"",MINDS!BZ$72,"")</f>
        <v/>
      </c>
      <c r="CA4" s="2" t="str">
        <f>IF(MINDS!CA$72&lt;&gt;"",MINDS!CA$72,"")</f>
        <v/>
      </c>
      <c r="CB4" s="2" t="str">
        <f>IF(MINDS!CB$72&lt;&gt;"",MINDS!CB$72,"")</f>
        <v/>
      </c>
      <c r="CC4" s="2" t="str">
        <f>IF(MINDS!CC$72&lt;&gt;"",MINDS!CC$72,"")</f>
        <v/>
      </c>
      <c r="CD4" s="2" t="str">
        <f>IF(MINDS!CD$72&lt;&gt;"",MINDS!CD$72,"")</f>
        <v/>
      </c>
      <c r="CE4" s="2" t="str">
        <f>IF(MINDS!CE$72&lt;&gt;"",MINDS!CE$72,"")</f>
        <v/>
      </c>
      <c r="CF4" s="2" t="str">
        <f>IF(MINDS!CF$72&lt;&gt;"",MINDS!CF$72,"")</f>
        <v/>
      </c>
      <c r="CG4" s="2" t="str">
        <f>IF(MINDS!CG$72&lt;&gt;"",MINDS!CG$72,"")</f>
        <v/>
      </c>
      <c r="CH4" s="2" t="str">
        <f>IF(MINDS!CH$72&lt;&gt;"",MINDS!CH$72,"")</f>
        <v/>
      </c>
      <c r="CI4" s="2" t="str">
        <f>IF(MINDS!CI$72&lt;&gt;"",MINDS!CI$72,"")</f>
        <v/>
      </c>
      <c r="CJ4" s="2" t="str">
        <f>IF(MINDS!CJ$72&lt;&gt;"",MINDS!CJ$72,"")</f>
        <v/>
      </c>
      <c r="CK4" s="2" t="str">
        <f>IF(MINDS!CK$72&lt;&gt;"",MINDS!CK$72,"")</f>
        <v/>
      </c>
      <c r="CL4" s="2" t="str">
        <f>IF(MINDS!CL$72&lt;&gt;"",MINDS!CL$72,"")</f>
        <v/>
      </c>
      <c r="CM4" s="2" t="str">
        <f>IF(MINDS!CM$72&lt;&gt;"",MINDS!CM$72,"")</f>
        <v/>
      </c>
      <c r="CN4" s="2" t="str">
        <f>IF(MINDS!CN$72&lt;&gt;"",MINDS!CN$72,"")</f>
        <v/>
      </c>
      <c r="CO4" s="2" t="str">
        <f>IF(MINDS!CO$72&lt;&gt;"",MINDS!CO$72,"")</f>
        <v/>
      </c>
      <c r="CP4" s="2" t="str">
        <f>IF(MINDS!CP$72&lt;&gt;"",MINDS!CP$72,"")</f>
        <v/>
      </c>
      <c r="CQ4" s="2" t="str">
        <f>IF(MINDS!CQ$72&lt;&gt;"",MINDS!CQ$72,"")</f>
        <v/>
      </c>
      <c r="CR4" s="2" t="str">
        <f>IF(MINDS!CR$72&lt;&gt;"",MINDS!CR$72,"")</f>
        <v/>
      </c>
      <c r="CS4" s="2" t="str">
        <f>IF(MINDS!CS$72&lt;&gt;"",MINDS!CS$72,"")</f>
        <v/>
      </c>
      <c r="CT4" s="2" t="str">
        <f>IF(MINDS!CT$72&lt;&gt;"",MINDS!CT$72,"")</f>
        <v/>
      </c>
      <c r="CU4" s="2" t="str">
        <f>IF(MINDS!CU$72&lt;&gt;"",MINDS!CU$72,"")</f>
        <v/>
      </c>
      <c r="CV4" s="2" t="str">
        <f>IF(MINDS!CV$72&lt;&gt;"",MINDS!CV$72,"")</f>
        <v/>
      </c>
      <c r="CW4" s="2" t="str">
        <f>IF(MINDS!CW$72&lt;&gt;"",MINDS!CW$72,"")</f>
        <v/>
      </c>
      <c r="CX4" s="2" t="str">
        <f>IF(MINDS!CX$72&lt;&gt;"",MINDS!CX$72,"")</f>
        <v/>
      </c>
      <c r="CY4" s="2" t="str">
        <f>IF(MINDS!CY$72&lt;&gt;"",MINDS!CY$72,"")</f>
        <v/>
      </c>
      <c r="CZ4" s="2" t="str">
        <f>IF(MINDS!CZ$72&lt;&gt;"",MINDS!CZ$72,"")</f>
        <v/>
      </c>
      <c r="DA4" s="2" t="str">
        <f>IF(MINDS!DA$72&lt;&gt;"",MINDS!DA$72,"")</f>
        <v/>
      </c>
      <c r="DB4" s="2" t="str">
        <f>IF(MINDS!DB$72&lt;&gt;"",MINDS!DB$72,"")</f>
        <v/>
      </c>
      <c r="DC4" s="2" t="str">
        <f>IF(MINDS!DC$72&lt;&gt;"",MINDS!DC$72,"")</f>
        <v/>
      </c>
      <c r="DD4" s="2" t="str">
        <f>IF(MINDS!DD$72&lt;&gt;"",MINDS!DD$72,"")</f>
        <v/>
      </c>
      <c r="DE4" s="2" t="str">
        <f>IF(MINDS!DE$72&lt;&gt;"",MINDS!DE$72,"")</f>
        <v/>
      </c>
      <c r="DF4" s="2" t="str">
        <f>IF(MINDS!DF$72&lt;&gt;"",MINDS!DF$72,"")</f>
        <v/>
      </c>
      <c r="DG4" s="2" t="str">
        <f>IF(MINDS!DG$72&lt;&gt;"",MINDS!DG$72,"")</f>
        <v/>
      </c>
      <c r="DH4" s="2" t="str">
        <f>IF(MINDS!DH$72&lt;&gt;"",MINDS!DH$72,"")</f>
        <v/>
      </c>
      <c r="DI4" s="2" t="str">
        <f>IF(MINDS!DI$72&lt;&gt;"",MINDS!DI$72,"")</f>
        <v/>
      </c>
      <c r="DJ4" s="2" t="str">
        <f>IF(MINDS!DJ$72&lt;&gt;"",MINDS!DJ$72,"")</f>
        <v/>
      </c>
      <c r="DK4" s="2" t="str">
        <f>IF(MINDS!DK$72&lt;&gt;"",MINDS!DK$72,"")</f>
        <v/>
      </c>
      <c r="DL4" s="2" t="str">
        <f>IF(MINDS!DL$72&lt;&gt;"",MINDS!DL$72,"")</f>
        <v/>
      </c>
      <c r="DM4" s="2" t="str">
        <f>IF(MINDS!DM$72&lt;&gt;"",MINDS!DM$72,"")</f>
        <v/>
      </c>
      <c r="DN4" s="2" t="str">
        <f>IF(MINDS!DN$72&lt;&gt;"",MINDS!DN$72,"")</f>
        <v/>
      </c>
      <c r="DO4" s="2" t="str">
        <f>IF(MINDS!DO$72&lt;&gt;"",MINDS!DO$72,"")</f>
        <v/>
      </c>
      <c r="DP4" s="2" t="str">
        <f>IF(MINDS!DP$72&lt;&gt;"",MINDS!DP$72,"")</f>
        <v/>
      </c>
      <c r="DQ4" s="2" t="str">
        <f>IF(MINDS!DQ$72&lt;&gt;"",MINDS!DQ$72,"")</f>
        <v/>
      </c>
      <c r="DR4" s="2" t="str">
        <f>IF(MINDS!DR$72&lt;&gt;"",MINDS!DR$72,"")</f>
        <v/>
      </c>
      <c r="DS4" s="2" t="str">
        <f>IF(MINDS!DS$72&lt;&gt;"",MINDS!DS$72,"")</f>
        <v/>
      </c>
      <c r="DT4" s="2" t="str">
        <f>IF(MINDS!DT$72&lt;&gt;"",MINDS!DT$72,"")</f>
        <v/>
      </c>
      <c r="DU4" s="2" t="str">
        <f>IF(MINDS!DU$72&lt;&gt;"",MINDS!DU$72,"")</f>
        <v/>
      </c>
      <c r="DV4" s="2" t="str">
        <f>IF(MINDS!DV$72&lt;&gt;"",MINDS!DV$72,"")</f>
        <v/>
      </c>
      <c r="DW4" s="2" t="str">
        <f>IF(MINDS!DW$72&lt;&gt;"",MINDS!DW$72,"")</f>
        <v/>
      </c>
      <c r="DX4" s="2" t="str">
        <f>IF(MINDS!DX$72&lt;&gt;"",MINDS!DX$72,"")</f>
        <v/>
      </c>
      <c r="DY4" s="2" t="str">
        <f>IF(MINDS!DY$72&lt;&gt;"",MINDS!DY$72,"")</f>
        <v/>
      </c>
      <c r="DZ4" s="2" t="str">
        <f>IF(MINDS!DZ$72&lt;&gt;"",MINDS!DZ$72,"")</f>
        <v/>
      </c>
      <c r="EA4" s="2" t="str">
        <f>IF(MINDS!EA$72&lt;&gt;"",MINDS!EA$72,"")</f>
        <v/>
      </c>
      <c r="EB4" s="2" t="str">
        <f>IF(MINDS!EB$72&lt;&gt;"",MINDS!EB$72,"")</f>
        <v/>
      </c>
      <c r="EC4" s="2" t="str">
        <f>IF(MINDS!EC$72&lt;&gt;"",MINDS!EC$72,"")</f>
        <v/>
      </c>
      <c r="ED4" s="2" t="str">
        <f>IF(MINDS!ED$72&lt;&gt;"",MINDS!ED$72,"")</f>
        <v/>
      </c>
      <c r="EE4" s="2" t="str">
        <f>IF(MINDS!EE$72&lt;&gt;"",MINDS!EE$72,"")</f>
        <v/>
      </c>
      <c r="EF4" s="2" t="str">
        <f>IF(MINDS!EF$72&lt;&gt;"",MINDS!EF$72,"")</f>
        <v/>
      </c>
      <c r="EG4" s="2" t="str">
        <f>IF(MINDS!EG$72&lt;&gt;"",MINDS!EG$72,"")</f>
        <v/>
      </c>
      <c r="EH4" s="2" t="str">
        <f>IF(MINDS!EH$72&lt;&gt;"",MINDS!EH$72,"")</f>
        <v/>
      </c>
      <c r="EI4" s="2" t="str">
        <f>IF(MINDS!EI$72&lt;&gt;"",MINDS!EI$72,"")</f>
        <v/>
      </c>
      <c r="EJ4" s="2" t="str">
        <f>IF(MINDS!EJ$72&lt;&gt;"",MINDS!EJ$72,"")</f>
        <v/>
      </c>
      <c r="EK4" s="2" t="str">
        <f>IF(MINDS!EK$72&lt;&gt;"",MINDS!EK$72,"")</f>
        <v/>
      </c>
      <c r="EL4" s="2" t="str">
        <f>IF(MINDS!EL$72&lt;&gt;"",MINDS!EL$72,"")</f>
        <v/>
      </c>
      <c r="EM4" s="2" t="str">
        <f>IF(MINDS!EM$72&lt;&gt;"",MINDS!EM$72,"")</f>
        <v/>
      </c>
      <c r="EN4" s="2" t="str">
        <f>IF(MINDS!EN$72&lt;&gt;"",MINDS!EN$72,"")</f>
        <v/>
      </c>
      <c r="EO4" s="2" t="str">
        <f>IF(MINDS!EO$72&lt;&gt;"",MINDS!EO$72,"")</f>
        <v/>
      </c>
      <c r="EP4" s="2" t="str">
        <f>IF(MINDS!EP$72&lt;&gt;"",MINDS!EP$72,"")</f>
        <v/>
      </c>
      <c r="EQ4" s="2" t="str">
        <f>IF(MINDS!EQ$72&lt;&gt;"",MINDS!EQ$72,"")</f>
        <v/>
      </c>
      <c r="ER4" s="2" t="str">
        <f>IF(MINDS!ER$72&lt;&gt;"",MINDS!ER$72,"")</f>
        <v/>
      </c>
      <c r="ES4" s="2" t="str">
        <f>IF(MINDS!ES$72&lt;&gt;"",MINDS!ES$72,"")</f>
        <v/>
      </c>
      <c r="ET4" s="2" t="str">
        <f>IF(MINDS!ET$72&lt;&gt;"",MINDS!ET$72,"")</f>
        <v/>
      </c>
      <c r="EU4" s="2" t="str">
        <f>IF(MINDS!EU$72&lt;&gt;"",MINDS!EU$72,"")</f>
        <v/>
      </c>
      <c r="EV4" s="2" t="str">
        <f>IF(MINDS!EV$72&lt;&gt;"",MINDS!EV$72,"")</f>
        <v/>
      </c>
      <c r="EW4" s="2" t="str">
        <f>IF(MINDS!EW$72&lt;&gt;"",MINDS!EW$72,"")</f>
        <v/>
      </c>
      <c r="EX4" s="2" t="str">
        <f>IF(MINDS!EX$72&lt;&gt;"",MINDS!EX$72,"")</f>
        <v/>
      </c>
      <c r="EY4" s="2" t="str">
        <f>IF(MINDS!EY$72&lt;&gt;"",MINDS!EY$72,"")</f>
        <v/>
      </c>
      <c r="EZ4" s="2" t="str">
        <f>IF(MINDS!EZ$72&lt;&gt;"",MINDS!EZ$72,"")</f>
        <v/>
      </c>
      <c r="FA4" s="2" t="str">
        <f>IF(MINDS!FA$72&lt;&gt;"",MINDS!FA$72,"")</f>
        <v/>
      </c>
      <c r="FB4" s="2" t="str">
        <f>IF(MINDS!FB$72&lt;&gt;"",MINDS!FB$72,"")</f>
        <v/>
      </c>
      <c r="FC4" s="2" t="str">
        <f>IF(MINDS!FC$72&lt;&gt;"",MINDS!FC$72,"")</f>
        <v/>
      </c>
      <c r="FD4" s="2" t="str">
        <f>IF(MINDS!FD$72&lt;&gt;"",MINDS!FD$72,"")</f>
        <v/>
      </c>
      <c r="FE4" s="2" t="str">
        <f>IF(MINDS!FE$72&lt;&gt;"",MINDS!FE$72,"")</f>
        <v/>
      </c>
      <c r="FF4" s="2" t="str">
        <f>IF(MINDS!FF$72&lt;&gt;"",MINDS!FF$72,"")</f>
        <v/>
      </c>
      <c r="FG4" s="2" t="str">
        <f>IF(MINDS!FG$72&lt;&gt;"",MINDS!FG$72,"")</f>
        <v/>
      </c>
      <c r="FH4" s="2" t="str">
        <f>IF(MINDS!FH$72&lt;&gt;"",MINDS!FH$72,"")</f>
        <v/>
      </c>
      <c r="FI4" s="2" t="str">
        <f>IF(MINDS!FI$72&lt;&gt;"",MINDS!FI$72,"")</f>
        <v/>
      </c>
      <c r="FJ4" s="2" t="str">
        <f>IF(MINDS!FJ$72&lt;&gt;"",MINDS!FJ$72,"")</f>
        <v/>
      </c>
      <c r="FK4" s="2" t="str">
        <f>IF(MINDS!FK$72&lt;&gt;"",MINDS!FK$72,"")</f>
        <v/>
      </c>
      <c r="FL4" s="2" t="str">
        <f>IF(MINDS!FL$72&lt;&gt;"",MINDS!FL$72,"")</f>
        <v/>
      </c>
      <c r="FM4" s="2" t="str">
        <f>IF(MINDS!FM$72&lt;&gt;"",MINDS!FM$72,"")</f>
        <v/>
      </c>
      <c r="FN4" s="2" t="str">
        <f>IF(MINDS!FN$72&lt;&gt;"",MINDS!FN$72,"")</f>
        <v/>
      </c>
      <c r="FO4" s="2" t="str">
        <f>IF(MINDS!FO$72&lt;&gt;"",MINDS!FO$72,"")</f>
        <v/>
      </c>
      <c r="FP4" s="2" t="str">
        <f>IF(MINDS!FP$72&lt;&gt;"",MINDS!FP$72,"")</f>
        <v/>
      </c>
      <c r="FQ4" s="2" t="str">
        <f>IF(MINDS!FQ$72&lt;&gt;"",MINDS!FQ$72,"")</f>
        <v/>
      </c>
      <c r="FR4" s="2" t="str">
        <f>IF(MINDS!FR$72&lt;&gt;"",MINDS!FR$72,"")</f>
        <v/>
      </c>
      <c r="FS4" s="2" t="str">
        <f>IF(MINDS!FS$72&lt;&gt;"",MINDS!FS$72,"")</f>
        <v/>
      </c>
      <c r="FT4" s="2" t="str">
        <f>IF(MINDS!FT$72&lt;&gt;"",MINDS!FT$72,"")</f>
        <v/>
      </c>
      <c r="FU4" s="2" t="str">
        <f>IF(MINDS!FU$72&lt;&gt;"",MINDS!FU$72,"")</f>
        <v/>
      </c>
      <c r="FV4" s="2" t="str">
        <f>IF(MINDS!FV$72&lt;&gt;"",MINDS!FV$72,"")</f>
        <v/>
      </c>
      <c r="FW4" s="2" t="str">
        <f>IF(MINDS!FW$72&lt;&gt;"",MINDS!FW$72,"")</f>
        <v/>
      </c>
      <c r="FX4" s="2" t="str">
        <f>IF(MINDS!FX$72&lt;&gt;"",MINDS!FX$72,"")</f>
        <v/>
      </c>
      <c r="FY4" s="2" t="str">
        <f>IF(MINDS!FY$72&lt;&gt;"",MINDS!FY$72,"")</f>
        <v/>
      </c>
      <c r="FZ4" s="2" t="str">
        <f>IF(MINDS!FZ$72&lt;&gt;"",MINDS!FZ$72,"")</f>
        <v/>
      </c>
      <c r="GA4" s="2" t="str">
        <f>IF(MINDS!GA$72&lt;&gt;"",MINDS!GA$72,"")</f>
        <v/>
      </c>
      <c r="GB4" s="2" t="str">
        <f>IF(MINDS!GB$72&lt;&gt;"",MINDS!GB$72,"")</f>
        <v/>
      </c>
      <c r="GC4" s="2" t="str">
        <f>IF(MINDS!GC$72&lt;&gt;"",MINDS!GC$72,"")</f>
        <v/>
      </c>
      <c r="GD4" s="2" t="str">
        <f>IF(MINDS!GD$72&lt;&gt;"",MINDS!GD$72,"")</f>
        <v/>
      </c>
      <c r="GE4" s="2" t="str">
        <f>IF(MINDS!GE$72&lt;&gt;"",MINDS!GE$72,"")</f>
        <v/>
      </c>
      <c r="GF4" s="2" t="str">
        <f>IF(MINDS!GF$72&lt;&gt;"",MINDS!GF$72,"")</f>
        <v/>
      </c>
      <c r="GG4" s="2" t="str">
        <f>IF(MINDS!GG$72&lt;&gt;"",MINDS!GG$72,"")</f>
        <v/>
      </c>
      <c r="GH4" s="2" t="str">
        <f>IF(MINDS!GH$72&lt;&gt;"",MINDS!GH$72,"")</f>
        <v/>
      </c>
      <c r="GI4" s="2" t="str">
        <f>IF(MINDS!GI$72&lt;&gt;"",MINDS!GI$72,"")</f>
        <v/>
      </c>
      <c r="GJ4" s="2" t="str">
        <f>IF(MINDS!GJ$72&lt;&gt;"",MINDS!GJ$72,"")</f>
        <v/>
      </c>
      <c r="GK4" s="2" t="str">
        <f>IF(MINDS!GK$72&lt;&gt;"",MINDS!GK$72,"")</f>
        <v/>
      </c>
      <c r="GL4" s="2" t="str">
        <f>IF(MINDS!GL$72&lt;&gt;"",MINDS!GL$72,"")</f>
        <v/>
      </c>
      <c r="GM4" s="2" t="str">
        <f>IF(MINDS!GM$72&lt;&gt;"",MINDS!GM$72,"")</f>
        <v/>
      </c>
      <c r="GN4" s="2" t="str">
        <f>IF(MINDS!GN$72&lt;&gt;"",MINDS!GN$72,"")</f>
        <v/>
      </c>
      <c r="GO4" s="2" t="str">
        <f>IF(MINDS!GO$72&lt;&gt;"",MINDS!GO$72,"")</f>
        <v/>
      </c>
      <c r="GP4" s="2" t="str">
        <f>IF(MINDS!GP$72&lt;&gt;"",MINDS!GP$72,"")</f>
        <v/>
      </c>
      <c r="GQ4" s="2" t="str">
        <f>IF(MINDS!GQ$72&lt;&gt;"",MINDS!GQ$72,"")</f>
        <v/>
      </c>
      <c r="GR4" s="2" t="str">
        <f>IF(MINDS!GR$72&lt;&gt;"",MINDS!GR$72,"")</f>
        <v/>
      </c>
      <c r="GS4" s="2" t="str">
        <f>IF(MINDS!GS$72&lt;&gt;"",MINDS!GS$72,"")</f>
        <v/>
      </c>
      <c r="GT4" s="2" t="str">
        <f>IF(MINDS!GT$72&lt;&gt;"",MINDS!GT$72,"")</f>
        <v/>
      </c>
      <c r="GU4" s="2" t="str">
        <f>IF(MINDS!GU$72&lt;&gt;"",MINDS!GU$72,"")</f>
        <v/>
      </c>
      <c r="GV4" s="2" t="str">
        <f>IF(MINDS!GV$72&lt;&gt;"",MINDS!GV$72,"")</f>
        <v/>
      </c>
      <c r="GW4" s="2" t="str">
        <f>IF(MINDS!GW$72&lt;&gt;"",MINDS!GW$72,"")</f>
        <v/>
      </c>
      <c r="GX4" s="2" t="str">
        <f>IF(MINDS!GX$72&lt;&gt;"",MINDS!GX$72,"")</f>
        <v/>
      </c>
      <c r="GY4" s="2" t="str">
        <f>IF(MINDS!GY$72&lt;&gt;"",MINDS!GY$72,"")</f>
        <v/>
      </c>
      <c r="GZ4" s="2" t="str">
        <f>IF(MINDS!GZ$72&lt;&gt;"",MINDS!GZ$72,"")</f>
        <v/>
      </c>
      <c r="HA4" s="2" t="str">
        <f>IF(MINDS!HA$72&lt;&gt;"",MINDS!HA$72,"")</f>
        <v/>
      </c>
      <c r="HB4" s="2" t="str">
        <f>IF(MINDS!HB$72&lt;&gt;"",MINDS!HB$72,"")</f>
        <v/>
      </c>
      <c r="HC4" s="2" t="str">
        <f>IF(MINDS!HC$72&lt;&gt;"",MINDS!HC$72,"")</f>
        <v/>
      </c>
      <c r="HD4" s="2" t="str">
        <f>IF(MINDS!HD$72&lt;&gt;"",MINDS!HD$72,"")</f>
        <v/>
      </c>
      <c r="HE4" s="2" t="str">
        <f>IF(MINDS!HE$72&lt;&gt;"",MINDS!HE$72,"")</f>
        <v/>
      </c>
      <c r="HF4" s="2" t="str">
        <f>IF(MINDS!HF$72&lt;&gt;"",MINDS!HF$72,"")</f>
        <v/>
      </c>
      <c r="HG4" s="2" t="str">
        <f>IF(MINDS!HG$72&lt;&gt;"",MINDS!HG$72,"")</f>
        <v/>
      </c>
      <c r="HH4" s="2" t="str">
        <f>IF(MINDS!HH$72&lt;&gt;"",MINDS!HH$72,"")</f>
        <v/>
      </c>
      <c r="HI4" s="2" t="str">
        <f>IF(MINDS!HI$72&lt;&gt;"",MINDS!HI$72,"")</f>
        <v/>
      </c>
      <c r="HJ4" s="2" t="str">
        <f>IF(MINDS!HJ$72&lt;&gt;"",MINDS!HJ$72,"")</f>
        <v/>
      </c>
      <c r="HK4" s="2" t="str">
        <f>IF(MINDS!HK$72&lt;&gt;"",MINDS!HK$72,"")</f>
        <v/>
      </c>
      <c r="HL4" s="2" t="str">
        <f>IF(MINDS!HL$72&lt;&gt;"",MINDS!HL$72,"")</f>
        <v/>
      </c>
      <c r="HM4" s="2" t="str">
        <f>IF(MINDS!HM$72&lt;&gt;"",MINDS!HM$72,"")</f>
        <v/>
      </c>
      <c r="HN4" s="2" t="str">
        <f>IF(MINDS!HN$72&lt;&gt;"",MINDS!HN$72,"")</f>
        <v/>
      </c>
      <c r="HO4" s="2" t="str">
        <f>IF(MINDS!HO$72&lt;&gt;"",MINDS!HO$72,"")</f>
        <v/>
      </c>
      <c r="HP4" s="2" t="str">
        <f>IF(MINDS!HP$72&lt;&gt;"",MINDS!HP$72,"")</f>
        <v/>
      </c>
      <c r="HQ4" s="2" t="str">
        <f>IF(MINDS!HQ$72&lt;&gt;"",MINDS!HQ$72,"")</f>
        <v/>
      </c>
      <c r="HR4" s="2" t="str">
        <f>IF(MINDS!HR$72&lt;&gt;"",MINDS!HR$72,"")</f>
        <v/>
      </c>
      <c r="HS4" s="2" t="str">
        <f>IF(MINDS!HS$72&lt;&gt;"",MINDS!HS$72,"")</f>
        <v/>
      </c>
      <c r="HT4" s="2" t="str">
        <f>IF(MINDS!HT$72&lt;&gt;"",MINDS!HT$72,"")</f>
        <v/>
      </c>
      <c r="HU4" s="2" t="str">
        <f>IF(MINDS!HU$72&lt;&gt;"",MINDS!HU$72,"")</f>
        <v/>
      </c>
      <c r="HV4" s="2" t="str">
        <f>IF(MINDS!HV$72&lt;&gt;"",MINDS!HV$72,"")</f>
        <v/>
      </c>
      <c r="HW4" s="2" t="str">
        <f>IF(MINDS!HW$72&lt;&gt;"",MINDS!HW$72,"")</f>
        <v/>
      </c>
      <c r="HX4" s="2" t="str">
        <f>IF(MINDS!HX$72&lt;&gt;"",MINDS!HX$72,"")</f>
        <v/>
      </c>
      <c r="HY4" s="2" t="str">
        <f>IF(MINDS!HY$72&lt;&gt;"",MINDS!HY$72,"")</f>
        <v/>
      </c>
      <c r="HZ4" s="2" t="str">
        <f>IF(MINDS!HZ$72&lt;&gt;"",MINDS!HZ$72,"")</f>
        <v/>
      </c>
      <c r="IA4" s="2" t="str">
        <f>IF(MINDS!IA$72&lt;&gt;"",MINDS!IA$72,"")</f>
        <v/>
      </c>
      <c r="IB4" s="2" t="str">
        <f>IF(MINDS!IB$72&lt;&gt;"",MINDS!IB$72,"")</f>
        <v/>
      </c>
      <c r="IC4" s="2" t="str">
        <f>IF(MINDS!IC$72&lt;&gt;"",MINDS!IC$72,"")</f>
        <v/>
      </c>
      <c r="ID4" s="2" t="str">
        <f>IF(MINDS!ID$72&lt;&gt;"",MINDS!ID$72,"")</f>
        <v/>
      </c>
      <c r="IE4" s="2" t="str">
        <f>IF(MINDS!IE$72&lt;&gt;"",MINDS!IE$72,"")</f>
        <v/>
      </c>
      <c r="IF4" s="2" t="str">
        <f>IF(MINDS!IF$72&lt;&gt;"",MINDS!IF$72,"")</f>
        <v/>
      </c>
      <c r="IG4" s="2" t="str">
        <f>IF(MINDS!IG$72&lt;&gt;"",MINDS!IG$72,"")</f>
        <v/>
      </c>
      <c r="IH4" s="2" t="str">
        <f>IF(MINDS!IH$72&lt;&gt;"",MINDS!IH$72,"")</f>
        <v/>
      </c>
      <c r="II4" s="2" t="str">
        <f>IF(MINDS!II$72&lt;&gt;"",MINDS!II$72,"")</f>
        <v/>
      </c>
      <c r="IJ4" s="2" t="str">
        <f>IF(MINDS!IJ$72&lt;&gt;"",MINDS!IJ$72,"")</f>
        <v/>
      </c>
      <c r="IK4" s="2" t="str">
        <f>IF(MINDS!IK$72&lt;&gt;"",MINDS!IK$72,"")</f>
        <v/>
      </c>
      <c r="IL4" s="2" t="str">
        <f>IF(MINDS!IL$72&lt;&gt;"",MINDS!IL$72,"")</f>
        <v/>
      </c>
      <c r="IM4" s="2" t="str">
        <f>IF(MINDS!IM$72&lt;&gt;"",MINDS!IM$72,"")</f>
        <v/>
      </c>
      <c r="IN4" s="2" t="str">
        <f>IF(MINDS!IN$72&lt;&gt;"",MINDS!IN$72,"")</f>
        <v/>
      </c>
      <c r="IO4" s="2" t="str">
        <f>IF(MINDS!IO$72&lt;&gt;"",MINDS!IO$72,"")</f>
        <v/>
      </c>
      <c r="IP4" s="2" t="str">
        <f>IF(MINDS!IP$72&lt;&gt;"",MINDS!IP$72,"")</f>
        <v/>
      </c>
      <c r="IQ4" s="2" t="str">
        <f>IF(MINDS!IQ$72&lt;&gt;"",MINDS!IQ$72,"")</f>
        <v/>
      </c>
      <c r="IR4" s="2" t="str">
        <f>IF(MINDS!IR$72&lt;&gt;"",MINDS!IR$72,"")</f>
        <v/>
      </c>
      <c r="IS4" s="2" t="str">
        <f>IF(MINDS!IS$72&lt;&gt;"",MINDS!IS$72,"")</f>
        <v/>
      </c>
      <c r="IT4" s="2" t="str">
        <f>IF(MINDS!IT$72&lt;&gt;"",MINDS!IT$72,"")</f>
        <v/>
      </c>
      <c r="IU4" s="2" t="str">
        <f>IF(MINDS!IU$72&lt;&gt;"",MINDS!IU$72,"")</f>
        <v/>
      </c>
      <c r="IV4" s="2" t="str">
        <f>IF(MINDS!IV$72&lt;&gt;"",MINDS!IV$72,"")</f>
        <v/>
      </c>
    </row>
    <row r="5" spans="1:256" x14ac:dyDescent="0.2">
      <c r="A5" s="5" t="s">
        <v>23</v>
      </c>
      <c r="C5" s="2" t="str">
        <f>C$4</f>
        <v/>
      </c>
      <c r="D5" s="2" t="str">
        <f t="shared" ref="D5:BO5" si="0">D$4</f>
        <v/>
      </c>
      <c r="E5" s="2" t="str">
        <f t="shared" si="0"/>
        <v/>
      </c>
      <c r="F5" s="2" t="str">
        <f t="shared" si="0"/>
        <v/>
      </c>
      <c r="G5" s="2" t="str">
        <f t="shared" si="0"/>
        <v/>
      </c>
      <c r="H5" s="2" t="str">
        <f t="shared" si="0"/>
        <v/>
      </c>
      <c r="I5" s="2" t="str">
        <f t="shared" si="0"/>
        <v/>
      </c>
      <c r="J5" s="2" t="str">
        <f t="shared" si="0"/>
        <v/>
      </c>
      <c r="K5" s="2" t="str">
        <f t="shared" si="0"/>
        <v/>
      </c>
      <c r="L5" s="2" t="str">
        <f t="shared" si="0"/>
        <v/>
      </c>
      <c r="M5" s="2" t="str">
        <f t="shared" si="0"/>
        <v/>
      </c>
      <c r="N5" s="2" t="str">
        <f t="shared" si="0"/>
        <v/>
      </c>
      <c r="O5" s="2" t="str">
        <f t="shared" si="0"/>
        <v/>
      </c>
      <c r="P5" s="2" t="str">
        <f t="shared" si="0"/>
        <v/>
      </c>
      <c r="Q5" s="2" t="str">
        <f t="shared" si="0"/>
        <v/>
      </c>
      <c r="R5" s="2" t="str">
        <f t="shared" si="0"/>
        <v/>
      </c>
      <c r="S5" s="2" t="str">
        <f t="shared" si="0"/>
        <v/>
      </c>
      <c r="T5" s="2" t="str">
        <f t="shared" si="0"/>
        <v/>
      </c>
      <c r="U5" s="2" t="str">
        <f t="shared" si="0"/>
        <v/>
      </c>
      <c r="V5" s="2" t="str">
        <f t="shared" si="0"/>
        <v/>
      </c>
      <c r="W5" s="2" t="str">
        <f t="shared" si="0"/>
        <v/>
      </c>
      <c r="X5" s="2" t="str">
        <f t="shared" si="0"/>
        <v/>
      </c>
      <c r="Y5" s="2" t="str">
        <f t="shared" si="0"/>
        <v/>
      </c>
      <c r="Z5" s="2" t="str">
        <f t="shared" si="0"/>
        <v/>
      </c>
      <c r="AA5" s="2" t="str">
        <f t="shared" si="0"/>
        <v/>
      </c>
      <c r="AB5" s="2" t="str">
        <f t="shared" si="0"/>
        <v/>
      </c>
      <c r="AC5" s="2" t="str">
        <f t="shared" si="0"/>
        <v/>
      </c>
      <c r="AD5" s="2" t="str">
        <f t="shared" si="0"/>
        <v/>
      </c>
      <c r="AE5" s="2" t="str">
        <f t="shared" si="0"/>
        <v/>
      </c>
      <c r="AF5" s="2" t="str">
        <f t="shared" si="0"/>
        <v/>
      </c>
      <c r="AG5" s="2" t="str">
        <f t="shared" si="0"/>
        <v/>
      </c>
      <c r="AH5" s="2" t="str">
        <f t="shared" si="0"/>
        <v/>
      </c>
      <c r="AI5" s="2" t="str">
        <f t="shared" si="0"/>
        <v/>
      </c>
      <c r="AJ5" s="2" t="str">
        <f t="shared" si="0"/>
        <v/>
      </c>
      <c r="AK5" s="2" t="str">
        <f t="shared" si="0"/>
        <v/>
      </c>
      <c r="AL5" s="2" t="str">
        <f t="shared" si="0"/>
        <v/>
      </c>
      <c r="AM5" s="2" t="str">
        <f t="shared" si="0"/>
        <v/>
      </c>
      <c r="AN5" s="2" t="str">
        <f t="shared" si="0"/>
        <v/>
      </c>
      <c r="AO5" s="2" t="str">
        <f t="shared" si="0"/>
        <v/>
      </c>
      <c r="AP5" s="2" t="str">
        <f t="shared" si="0"/>
        <v/>
      </c>
      <c r="AQ5" s="2" t="str">
        <f t="shared" si="0"/>
        <v/>
      </c>
      <c r="AR5" s="2" t="str">
        <f t="shared" si="0"/>
        <v/>
      </c>
      <c r="AS5" s="2" t="str">
        <f t="shared" si="0"/>
        <v/>
      </c>
      <c r="AT5" s="2" t="str">
        <f t="shared" si="0"/>
        <v/>
      </c>
      <c r="AU5" s="2" t="str">
        <f t="shared" si="0"/>
        <v/>
      </c>
      <c r="AV5" s="2" t="str">
        <f t="shared" si="0"/>
        <v/>
      </c>
      <c r="AW5" s="2" t="str">
        <f t="shared" si="0"/>
        <v/>
      </c>
      <c r="AX5" s="2" t="str">
        <f t="shared" si="0"/>
        <v/>
      </c>
      <c r="AY5" s="2" t="str">
        <f t="shared" si="0"/>
        <v/>
      </c>
      <c r="AZ5" s="2" t="str">
        <f t="shared" si="0"/>
        <v/>
      </c>
      <c r="BA5" s="2" t="str">
        <f t="shared" si="0"/>
        <v/>
      </c>
      <c r="BB5" s="2" t="str">
        <f t="shared" si="0"/>
        <v/>
      </c>
      <c r="BC5" s="2" t="str">
        <f t="shared" si="0"/>
        <v/>
      </c>
      <c r="BD5" s="2" t="str">
        <f t="shared" si="0"/>
        <v/>
      </c>
      <c r="BE5" s="2" t="str">
        <f t="shared" si="0"/>
        <v/>
      </c>
      <c r="BF5" s="2" t="str">
        <f t="shared" si="0"/>
        <v/>
      </c>
      <c r="BG5" s="2" t="str">
        <f t="shared" si="0"/>
        <v/>
      </c>
      <c r="BH5" s="2" t="str">
        <f t="shared" si="0"/>
        <v/>
      </c>
      <c r="BI5" s="2" t="str">
        <f t="shared" si="0"/>
        <v/>
      </c>
      <c r="BJ5" s="2" t="str">
        <f t="shared" si="0"/>
        <v/>
      </c>
      <c r="BK5" s="2" t="str">
        <f t="shared" si="0"/>
        <v/>
      </c>
      <c r="BL5" s="2" t="str">
        <f t="shared" si="0"/>
        <v/>
      </c>
      <c r="BM5" s="2" t="str">
        <f t="shared" si="0"/>
        <v/>
      </c>
      <c r="BN5" s="2" t="str">
        <f t="shared" si="0"/>
        <v/>
      </c>
      <c r="BO5" s="2" t="str">
        <f t="shared" si="0"/>
        <v/>
      </c>
      <c r="BP5" s="2" t="str">
        <f t="shared" ref="BP5:EA5" si="1">BP$4</f>
        <v/>
      </c>
      <c r="BQ5" s="2" t="str">
        <f t="shared" si="1"/>
        <v/>
      </c>
      <c r="BR5" s="2" t="str">
        <f t="shared" si="1"/>
        <v/>
      </c>
      <c r="BS5" s="2" t="str">
        <f t="shared" si="1"/>
        <v/>
      </c>
      <c r="BT5" s="2" t="str">
        <f t="shared" si="1"/>
        <v/>
      </c>
      <c r="BU5" s="2" t="str">
        <f t="shared" si="1"/>
        <v/>
      </c>
      <c r="BV5" s="2" t="str">
        <f t="shared" si="1"/>
        <v/>
      </c>
      <c r="BW5" s="2" t="str">
        <f t="shared" si="1"/>
        <v/>
      </c>
      <c r="BX5" s="2" t="str">
        <f t="shared" si="1"/>
        <v/>
      </c>
      <c r="BY5" s="2" t="str">
        <f t="shared" si="1"/>
        <v/>
      </c>
      <c r="BZ5" s="2" t="str">
        <f t="shared" si="1"/>
        <v/>
      </c>
      <c r="CA5" s="2" t="str">
        <f t="shared" si="1"/>
        <v/>
      </c>
      <c r="CB5" s="2" t="str">
        <f t="shared" si="1"/>
        <v/>
      </c>
      <c r="CC5" s="2" t="str">
        <f t="shared" si="1"/>
        <v/>
      </c>
      <c r="CD5" s="2" t="str">
        <f t="shared" si="1"/>
        <v/>
      </c>
      <c r="CE5" s="2" t="str">
        <f t="shared" si="1"/>
        <v/>
      </c>
      <c r="CF5" s="2" t="str">
        <f t="shared" si="1"/>
        <v/>
      </c>
      <c r="CG5" s="2" t="str">
        <f t="shared" si="1"/>
        <v/>
      </c>
      <c r="CH5" s="2" t="str">
        <f t="shared" si="1"/>
        <v/>
      </c>
      <c r="CI5" s="2" t="str">
        <f t="shared" si="1"/>
        <v/>
      </c>
      <c r="CJ5" s="2" t="str">
        <f t="shared" si="1"/>
        <v/>
      </c>
      <c r="CK5" s="2" t="str">
        <f t="shared" si="1"/>
        <v/>
      </c>
      <c r="CL5" s="2" t="str">
        <f t="shared" si="1"/>
        <v/>
      </c>
      <c r="CM5" s="2" t="str">
        <f t="shared" si="1"/>
        <v/>
      </c>
      <c r="CN5" s="2" t="str">
        <f t="shared" si="1"/>
        <v/>
      </c>
      <c r="CO5" s="2" t="str">
        <f t="shared" si="1"/>
        <v/>
      </c>
      <c r="CP5" s="2" t="str">
        <f t="shared" si="1"/>
        <v/>
      </c>
      <c r="CQ5" s="2" t="str">
        <f t="shared" si="1"/>
        <v/>
      </c>
      <c r="CR5" s="2" t="str">
        <f t="shared" si="1"/>
        <v/>
      </c>
      <c r="CS5" s="2" t="str">
        <f t="shared" si="1"/>
        <v/>
      </c>
      <c r="CT5" s="2" t="str">
        <f t="shared" si="1"/>
        <v/>
      </c>
      <c r="CU5" s="2" t="str">
        <f t="shared" si="1"/>
        <v/>
      </c>
      <c r="CV5" s="2" t="str">
        <f t="shared" si="1"/>
        <v/>
      </c>
      <c r="CW5" s="2" t="str">
        <f t="shared" si="1"/>
        <v/>
      </c>
      <c r="CX5" s="2" t="str">
        <f t="shared" si="1"/>
        <v/>
      </c>
      <c r="CY5" s="2" t="str">
        <f t="shared" si="1"/>
        <v/>
      </c>
      <c r="CZ5" s="2" t="str">
        <f t="shared" si="1"/>
        <v/>
      </c>
      <c r="DA5" s="2" t="str">
        <f t="shared" si="1"/>
        <v/>
      </c>
      <c r="DB5" s="2" t="str">
        <f t="shared" si="1"/>
        <v/>
      </c>
      <c r="DC5" s="2" t="str">
        <f t="shared" si="1"/>
        <v/>
      </c>
      <c r="DD5" s="2" t="str">
        <f t="shared" si="1"/>
        <v/>
      </c>
      <c r="DE5" s="2" t="str">
        <f t="shared" si="1"/>
        <v/>
      </c>
      <c r="DF5" s="2" t="str">
        <f t="shared" si="1"/>
        <v/>
      </c>
      <c r="DG5" s="2" t="str">
        <f t="shared" si="1"/>
        <v/>
      </c>
      <c r="DH5" s="2" t="str">
        <f t="shared" si="1"/>
        <v/>
      </c>
      <c r="DI5" s="2" t="str">
        <f t="shared" si="1"/>
        <v/>
      </c>
      <c r="DJ5" s="2" t="str">
        <f t="shared" si="1"/>
        <v/>
      </c>
      <c r="DK5" s="2" t="str">
        <f t="shared" si="1"/>
        <v/>
      </c>
      <c r="DL5" s="2" t="str">
        <f t="shared" si="1"/>
        <v/>
      </c>
      <c r="DM5" s="2" t="str">
        <f t="shared" si="1"/>
        <v/>
      </c>
      <c r="DN5" s="2" t="str">
        <f t="shared" si="1"/>
        <v/>
      </c>
      <c r="DO5" s="2" t="str">
        <f t="shared" si="1"/>
        <v/>
      </c>
      <c r="DP5" s="2" t="str">
        <f t="shared" si="1"/>
        <v/>
      </c>
      <c r="DQ5" s="2" t="str">
        <f t="shared" si="1"/>
        <v/>
      </c>
      <c r="DR5" s="2" t="str">
        <f t="shared" si="1"/>
        <v/>
      </c>
      <c r="DS5" s="2" t="str">
        <f t="shared" si="1"/>
        <v/>
      </c>
      <c r="DT5" s="2" t="str">
        <f t="shared" si="1"/>
        <v/>
      </c>
      <c r="DU5" s="2" t="str">
        <f t="shared" si="1"/>
        <v/>
      </c>
      <c r="DV5" s="2" t="str">
        <f t="shared" si="1"/>
        <v/>
      </c>
      <c r="DW5" s="2" t="str">
        <f t="shared" si="1"/>
        <v/>
      </c>
      <c r="DX5" s="2" t="str">
        <f t="shared" si="1"/>
        <v/>
      </c>
      <c r="DY5" s="2" t="str">
        <f t="shared" si="1"/>
        <v/>
      </c>
      <c r="DZ5" s="2" t="str">
        <f t="shared" si="1"/>
        <v/>
      </c>
      <c r="EA5" s="2" t="str">
        <f t="shared" si="1"/>
        <v/>
      </c>
      <c r="EB5" s="2" t="str">
        <f t="shared" ref="EB5:GM5" si="2">EB$4</f>
        <v/>
      </c>
      <c r="EC5" s="2" t="str">
        <f t="shared" si="2"/>
        <v/>
      </c>
      <c r="ED5" s="2" t="str">
        <f t="shared" si="2"/>
        <v/>
      </c>
      <c r="EE5" s="2" t="str">
        <f t="shared" si="2"/>
        <v/>
      </c>
      <c r="EF5" s="2" t="str">
        <f t="shared" si="2"/>
        <v/>
      </c>
      <c r="EG5" s="2" t="str">
        <f t="shared" si="2"/>
        <v/>
      </c>
      <c r="EH5" s="2" t="str">
        <f t="shared" si="2"/>
        <v/>
      </c>
      <c r="EI5" s="2" t="str">
        <f t="shared" si="2"/>
        <v/>
      </c>
      <c r="EJ5" s="2" t="str">
        <f t="shared" si="2"/>
        <v/>
      </c>
      <c r="EK5" s="2" t="str">
        <f t="shared" si="2"/>
        <v/>
      </c>
      <c r="EL5" s="2" t="str">
        <f t="shared" si="2"/>
        <v/>
      </c>
      <c r="EM5" s="2" t="str">
        <f t="shared" si="2"/>
        <v/>
      </c>
      <c r="EN5" s="2" t="str">
        <f t="shared" si="2"/>
        <v/>
      </c>
      <c r="EO5" s="2" t="str">
        <f t="shared" si="2"/>
        <v/>
      </c>
      <c r="EP5" s="2" t="str">
        <f t="shared" si="2"/>
        <v/>
      </c>
      <c r="EQ5" s="2" t="str">
        <f t="shared" si="2"/>
        <v/>
      </c>
      <c r="ER5" s="2" t="str">
        <f t="shared" si="2"/>
        <v/>
      </c>
      <c r="ES5" s="2" t="str">
        <f t="shared" si="2"/>
        <v/>
      </c>
      <c r="ET5" s="2" t="str">
        <f t="shared" si="2"/>
        <v/>
      </c>
      <c r="EU5" s="2" t="str">
        <f t="shared" si="2"/>
        <v/>
      </c>
      <c r="EV5" s="2" t="str">
        <f t="shared" si="2"/>
        <v/>
      </c>
      <c r="EW5" s="2" t="str">
        <f t="shared" si="2"/>
        <v/>
      </c>
      <c r="EX5" s="2" t="str">
        <f t="shared" si="2"/>
        <v/>
      </c>
      <c r="EY5" s="2" t="str">
        <f t="shared" si="2"/>
        <v/>
      </c>
      <c r="EZ5" s="2" t="str">
        <f t="shared" si="2"/>
        <v/>
      </c>
      <c r="FA5" s="2" t="str">
        <f t="shared" si="2"/>
        <v/>
      </c>
      <c r="FB5" s="2" t="str">
        <f t="shared" si="2"/>
        <v/>
      </c>
      <c r="FC5" s="2" t="str">
        <f t="shared" si="2"/>
        <v/>
      </c>
      <c r="FD5" s="2" t="str">
        <f t="shared" si="2"/>
        <v/>
      </c>
      <c r="FE5" s="2" t="str">
        <f t="shared" si="2"/>
        <v/>
      </c>
      <c r="FF5" s="2" t="str">
        <f t="shared" si="2"/>
        <v/>
      </c>
      <c r="FG5" s="2" t="str">
        <f t="shared" si="2"/>
        <v/>
      </c>
      <c r="FH5" s="2" t="str">
        <f t="shared" si="2"/>
        <v/>
      </c>
      <c r="FI5" s="2" t="str">
        <f t="shared" si="2"/>
        <v/>
      </c>
      <c r="FJ5" s="2" t="str">
        <f t="shared" si="2"/>
        <v/>
      </c>
      <c r="FK5" s="2" t="str">
        <f t="shared" si="2"/>
        <v/>
      </c>
      <c r="FL5" s="2" t="str">
        <f t="shared" si="2"/>
        <v/>
      </c>
      <c r="FM5" s="2" t="str">
        <f t="shared" si="2"/>
        <v/>
      </c>
      <c r="FN5" s="2" t="str">
        <f t="shared" si="2"/>
        <v/>
      </c>
      <c r="FO5" s="2" t="str">
        <f t="shared" si="2"/>
        <v/>
      </c>
      <c r="FP5" s="2" t="str">
        <f t="shared" si="2"/>
        <v/>
      </c>
      <c r="FQ5" s="2" t="str">
        <f t="shared" si="2"/>
        <v/>
      </c>
      <c r="FR5" s="2" t="str">
        <f t="shared" si="2"/>
        <v/>
      </c>
      <c r="FS5" s="2" t="str">
        <f t="shared" si="2"/>
        <v/>
      </c>
      <c r="FT5" s="2" t="str">
        <f t="shared" si="2"/>
        <v/>
      </c>
      <c r="FU5" s="2" t="str">
        <f t="shared" si="2"/>
        <v/>
      </c>
      <c r="FV5" s="2" t="str">
        <f t="shared" si="2"/>
        <v/>
      </c>
      <c r="FW5" s="2" t="str">
        <f t="shared" si="2"/>
        <v/>
      </c>
      <c r="FX5" s="2" t="str">
        <f t="shared" si="2"/>
        <v/>
      </c>
      <c r="FY5" s="2" t="str">
        <f t="shared" si="2"/>
        <v/>
      </c>
      <c r="FZ5" s="2" t="str">
        <f t="shared" si="2"/>
        <v/>
      </c>
      <c r="GA5" s="2" t="str">
        <f t="shared" si="2"/>
        <v/>
      </c>
      <c r="GB5" s="2" t="str">
        <f t="shared" si="2"/>
        <v/>
      </c>
      <c r="GC5" s="2" t="str">
        <f t="shared" si="2"/>
        <v/>
      </c>
      <c r="GD5" s="2" t="str">
        <f t="shared" si="2"/>
        <v/>
      </c>
      <c r="GE5" s="2" t="str">
        <f t="shared" si="2"/>
        <v/>
      </c>
      <c r="GF5" s="2" t="str">
        <f t="shared" si="2"/>
        <v/>
      </c>
      <c r="GG5" s="2" t="str">
        <f t="shared" si="2"/>
        <v/>
      </c>
      <c r="GH5" s="2" t="str">
        <f t="shared" si="2"/>
        <v/>
      </c>
      <c r="GI5" s="2" t="str">
        <f t="shared" si="2"/>
        <v/>
      </c>
      <c r="GJ5" s="2" t="str">
        <f t="shared" si="2"/>
        <v/>
      </c>
      <c r="GK5" s="2" t="str">
        <f t="shared" si="2"/>
        <v/>
      </c>
      <c r="GL5" s="2" t="str">
        <f t="shared" si="2"/>
        <v/>
      </c>
      <c r="GM5" s="2" t="str">
        <f t="shared" si="2"/>
        <v/>
      </c>
      <c r="GN5" s="2" t="str">
        <f t="shared" ref="GN5:IV5" si="3">GN$4</f>
        <v/>
      </c>
      <c r="GO5" s="2" t="str">
        <f t="shared" si="3"/>
        <v/>
      </c>
      <c r="GP5" s="2" t="str">
        <f t="shared" si="3"/>
        <v/>
      </c>
      <c r="GQ5" s="2" t="str">
        <f t="shared" si="3"/>
        <v/>
      </c>
      <c r="GR5" s="2" t="str">
        <f t="shared" si="3"/>
        <v/>
      </c>
      <c r="GS5" s="2" t="str">
        <f t="shared" si="3"/>
        <v/>
      </c>
      <c r="GT5" s="2" t="str">
        <f t="shared" si="3"/>
        <v/>
      </c>
      <c r="GU5" s="2" t="str">
        <f t="shared" si="3"/>
        <v/>
      </c>
      <c r="GV5" s="2" t="str">
        <f t="shared" si="3"/>
        <v/>
      </c>
      <c r="GW5" s="2" t="str">
        <f t="shared" si="3"/>
        <v/>
      </c>
      <c r="GX5" s="2" t="str">
        <f t="shared" si="3"/>
        <v/>
      </c>
      <c r="GY5" s="2" t="str">
        <f t="shared" si="3"/>
        <v/>
      </c>
      <c r="GZ5" s="2" t="str">
        <f t="shared" si="3"/>
        <v/>
      </c>
      <c r="HA5" s="2" t="str">
        <f t="shared" si="3"/>
        <v/>
      </c>
      <c r="HB5" s="2" t="str">
        <f t="shared" si="3"/>
        <v/>
      </c>
      <c r="HC5" s="2" t="str">
        <f t="shared" si="3"/>
        <v/>
      </c>
      <c r="HD5" s="2" t="str">
        <f t="shared" si="3"/>
        <v/>
      </c>
      <c r="HE5" s="2" t="str">
        <f t="shared" si="3"/>
        <v/>
      </c>
      <c r="HF5" s="2" t="str">
        <f t="shared" si="3"/>
        <v/>
      </c>
      <c r="HG5" s="2" t="str">
        <f t="shared" si="3"/>
        <v/>
      </c>
      <c r="HH5" s="2" t="str">
        <f t="shared" si="3"/>
        <v/>
      </c>
      <c r="HI5" s="2" t="str">
        <f t="shared" si="3"/>
        <v/>
      </c>
      <c r="HJ5" s="2" t="str">
        <f t="shared" si="3"/>
        <v/>
      </c>
      <c r="HK5" s="2" t="str">
        <f t="shared" si="3"/>
        <v/>
      </c>
      <c r="HL5" s="2" t="str">
        <f t="shared" si="3"/>
        <v/>
      </c>
      <c r="HM5" s="2" t="str">
        <f t="shared" si="3"/>
        <v/>
      </c>
      <c r="HN5" s="2" t="str">
        <f t="shared" si="3"/>
        <v/>
      </c>
      <c r="HO5" s="2" t="str">
        <f t="shared" si="3"/>
        <v/>
      </c>
      <c r="HP5" s="2" t="str">
        <f t="shared" si="3"/>
        <v/>
      </c>
      <c r="HQ5" s="2" t="str">
        <f t="shared" si="3"/>
        <v/>
      </c>
      <c r="HR5" s="2" t="str">
        <f t="shared" si="3"/>
        <v/>
      </c>
      <c r="HS5" s="2" t="str">
        <f t="shared" si="3"/>
        <v/>
      </c>
      <c r="HT5" s="2" t="str">
        <f t="shared" si="3"/>
        <v/>
      </c>
      <c r="HU5" s="2" t="str">
        <f t="shared" si="3"/>
        <v/>
      </c>
      <c r="HV5" s="2" t="str">
        <f t="shared" si="3"/>
        <v/>
      </c>
      <c r="HW5" s="2" t="str">
        <f t="shared" si="3"/>
        <v/>
      </c>
      <c r="HX5" s="2" t="str">
        <f t="shared" si="3"/>
        <v/>
      </c>
      <c r="HY5" s="2" t="str">
        <f t="shared" si="3"/>
        <v/>
      </c>
      <c r="HZ5" s="2" t="str">
        <f t="shared" si="3"/>
        <v/>
      </c>
      <c r="IA5" s="2" t="str">
        <f t="shared" si="3"/>
        <v/>
      </c>
      <c r="IB5" s="2" t="str">
        <f t="shared" si="3"/>
        <v/>
      </c>
      <c r="IC5" s="2" t="str">
        <f t="shared" si="3"/>
        <v/>
      </c>
      <c r="ID5" s="2" t="str">
        <f t="shared" si="3"/>
        <v/>
      </c>
      <c r="IE5" s="2" t="str">
        <f t="shared" si="3"/>
        <v/>
      </c>
      <c r="IF5" s="2" t="str">
        <f t="shared" si="3"/>
        <v/>
      </c>
      <c r="IG5" s="2" t="str">
        <f t="shared" si="3"/>
        <v/>
      </c>
      <c r="IH5" s="2" t="str">
        <f t="shared" si="3"/>
        <v/>
      </c>
      <c r="II5" s="2" t="str">
        <f t="shared" si="3"/>
        <v/>
      </c>
      <c r="IJ5" s="2" t="str">
        <f t="shared" si="3"/>
        <v/>
      </c>
      <c r="IK5" s="2" t="str">
        <f t="shared" si="3"/>
        <v/>
      </c>
      <c r="IL5" s="2" t="str">
        <f t="shared" si="3"/>
        <v/>
      </c>
      <c r="IM5" s="2" t="str">
        <f t="shared" si="3"/>
        <v/>
      </c>
      <c r="IN5" s="2" t="str">
        <f t="shared" si="3"/>
        <v/>
      </c>
      <c r="IO5" s="2" t="str">
        <f t="shared" si="3"/>
        <v/>
      </c>
      <c r="IP5" s="2" t="str">
        <f t="shared" si="3"/>
        <v/>
      </c>
      <c r="IQ5" s="2" t="str">
        <f t="shared" si="3"/>
        <v/>
      </c>
      <c r="IR5" s="2" t="str">
        <f t="shared" si="3"/>
        <v/>
      </c>
      <c r="IS5" s="2" t="str">
        <f t="shared" si="3"/>
        <v/>
      </c>
      <c r="IT5" s="2" t="str">
        <f t="shared" si="3"/>
        <v/>
      </c>
      <c r="IU5" s="2" t="str">
        <f t="shared" si="3"/>
        <v/>
      </c>
      <c r="IV5" s="2" t="str">
        <f t="shared" si="3"/>
        <v/>
      </c>
    </row>
    <row r="6" spans="1:256" x14ac:dyDescent="0.2">
      <c r="A6" s="3" t="s">
        <v>24</v>
      </c>
      <c r="C6" s="2" t="str">
        <f>IF(C$4="","",MINDS!C$73)</f>
        <v/>
      </c>
      <c r="D6" s="2" t="str">
        <f>IF(D$4="","",MINDS!D$73)</f>
        <v/>
      </c>
      <c r="E6" s="2" t="str">
        <f>IF(E$4="","",MINDS!E$73)</f>
        <v/>
      </c>
      <c r="F6" s="2" t="str">
        <f>IF(F$4="","",MINDS!F$73)</f>
        <v/>
      </c>
      <c r="G6" s="2" t="str">
        <f>IF(G$4="","",MINDS!G$73)</f>
        <v/>
      </c>
      <c r="H6" s="2" t="str">
        <f>IF(H$4="","",MINDS!H$73)</f>
        <v/>
      </c>
      <c r="I6" s="2" t="str">
        <f>IF(I$4="","",MINDS!I$73)</f>
        <v/>
      </c>
      <c r="J6" s="2" t="str">
        <f>IF(J$4="","",MINDS!J$73)</f>
        <v/>
      </c>
      <c r="K6" s="2" t="str">
        <f>IF(K$4="","",MINDS!K$73)</f>
        <v/>
      </c>
      <c r="L6" s="2" t="str">
        <f>IF(L$4="","",MINDS!L$73)</f>
        <v/>
      </c>
      <c r="M6" s="2" t="str">
        <f>IF(M$4="","",MINDS!M$73)</f>
        <v/>
      </c>
      <c r="N6" s="2" t="str">
        <f>IF(N$4="","",MINDS!N$73)</f>
        <v/>
      </c>
      <c r="O6" s="2" t="str">
        <f>IF(O$4="","",MINDS!O$73)</f>
        <v/>
      </c>
      <c r="P6" s="2" t="str">
        <f>IF(P$4="","",MINDS!P$73)</f>
        <v/>
      </c>
      <c r="Q6" s="2" t="str">
        <f>IF(Q$4="","",MINDS!Q$73)</f>
        <v/>
      </c>
      <c r="R6" s="2" t="str">
        <f>IF(R$4="","",MINDS!R$73)</f>
        <v/>
      </c>
      <c r="S6" s="2" t="str">
        <f>IF(S$4="","",MINDS!S$73)</f>
        <v/>
      </c>
      <c r="T6" s="2" t="str">
        <f>IF(T$4="","",MINDS!T$73)</f>
        <v/>
      </c>
      <c r="U6" s="2" t="str">
        <f>IF(U$4="","",MINDS!U$73)</f>
        <v/>
      </c>
      <c r="V6" s="2" t="str">
        <f>IF(V$4="","",MINDS!V$73)</f>
        <v/>
      </c>
      <c r="W6" s="2" t="str">
        <f>IF(W$4="","",MINDS!W$73)</f>
        <v/>
      </c>
      <c r="X6" s="2" t="str">
        <f>IF(X$4="","",MINDS!X$73)</f>
        <v/>
      </c>
      <c r="Y6" s="2" t="str">
        <f>IF(Y$4="","",MINDS!Y$73)</f>
        <v/>
      </c>
      <c r="Z6" s="2" t="str">
        <f>IF(Z$4="","",MINDS!Z$73)</f>
        <v/>
      </c>
      <c r="AA6" s="2" t="str">
        <f>IF(AA$4="","",MINDS!AA$73)</f>
        <v/>
      </c>
      <c r="AB6" s="2" t="str">
        <f>IF(AB$4="","",MINDS!AB$73)</f>
        <v/>
      </c>
      <c r="AC6" s="2" t="str">
        <f>IF(AC$4="","",MINDS!AC$73)</f>
        <v/>
      </c>
      <c r="AD6" s="2" t="str">
        <f>IF(AD$4="","",MINDS!AD$73)</f>
        <v/>
      </c>
      <c r="AE6" s="2" t="str">
        <f>IF(AE$4="","",MINDS!AE$73)</f>
        <v/>
      </c>
      <c r="AF6" s="2" t="str">
        <f>IF(AF$4="","",MINDS!AF$73)</f>
        <v/>
      </c>
      <c r="AG6" s="2" t="str">
        <f>IF(AG$4="","",MINDS!AG$73)</f>
        <v/>
      </c>
      <c r="AH6" s="2" t="str">
        <f>IF(AH$4="","",MINDS!AH$73)</f>
        <v/>
      </c>
      <c r="AI6" s="2" t="str">
        <f>IF(AI$4="","",MINDS!AI$73)</f>
        <v/>
      </c>
      <c r="AJ6" s="2" t="str">
        <f>IF(AJ$4="","",MINDS!AJ$73)</f>
        <v/>
      </c>
      <c r="AK6" s="2" t="str">
        <f>IF(AK$4="","",MINDS!AK$73)</f>
        <v/>
      </c>
      <c r="AL6" s="2" t="str">
        <f>IF(AL$4="","",MINDS!AL$73)</f>
        <v/>
      </c>
      <c r="AM6" s="2" t="str">
        <f>IF(AM$4="","",MINDS!AM$73)</f>
        <v/>
      </c>
      <c r="AN6" s="2" t="str">
        <f>IF(AN$4="","",MINDS!AN$73)</f>
        <v/>
      </c>
      <c r="AO6" s="2" t="str">
        <f>IF(AO$4="","",MINDS!AO$73)</f>
        <v/>
      </c>
      <c r="AP6" s="2" t="str">
        <f>IF(AP$4="","",MINDS!AP$73)</f>
        <v/>
      </c>
      <c r="AQ6" s="2" t="str">
        <f>IF(AQ$4="","",MINDS!AQ$73)</f>
        <v/>
      </c>
      <c r="AR6" s="2" t="str">
        <f>IF(AR$4="","",MINDS!AR$73)</f>
        <v/>
      </c>
      <c r="AS6" s="2" t="str">
        <f>IF(AS$4="","",MINDS!AS$73)</f>
        <v/>
      </c>
      <c r="AT6" s="2" t="str">
        <f>IF(AT$4="","",MINDS!AT$73)</f>
        <v/>
      </c>
      <c r="AU6" s="2" t="str">
        <f>IF(AU$4="","",MINDS!AU$73)</f>
        <v/>
      </c>
      <c r="AV6" s="2" t="str">
        <f>IF(AV$4="","",MINDS!AV$73)</f>
        <v/>
      </c>
      <c r="AW6" s="2" t="str">
        <f>IF(AW$4="","",MINDS!AW$73)</f>
        <v/>
      </c>
      <c r="AX6" s="2" t="str">
        <f>IF(AX$4="","",MINDS!AX$73)</f>
        <v/>
      </c>
      <c r="AY6" s="2" t="str">
        <f>IF(AY$4="","",MINDS!AY$73)</f>
        <v/>
      </c>
      <c r="AZ6" s="2" t="str">
        <f>IF(AZ$4="","",MINDS!AZ$73)</f>
        <v/>
      </c>
      <c r="BA6" s="2" t="str">
        <f>IF(BA$4="","",MINDS!BA$73)</f>
        <v/>
      </c>
      <c r="BB6" s="2" t="str">
        <f>IF(BB$4="","",MINDS!BB$73)</f>
        <v/>
      </c>
      <c r="BC6" s="2" t="str">
        <f>IF(BC$4="","",MINDS!BC$73)</f>
        <v/>
      </c>
      <c r="BD6" s="2" t="str">
        <f>IF(BD$4="","",MINDS!BD$73)</f>
        <v/>
      </c>
      <c r="BE6" s="2" t="str">
        <f>IF(BE$4="","",MINDS!BE$73)</f>
        <v/>
      </c>
      <c r="BF6" s="2" t="str">
        <f>IF(BF$4="","",MINDS!BF$73)</f>
        <v/>
      </c>
      <c r="BG6" s="2" t="str">
        <f>IF(BG$4="","",MINDS!BG$73)</f>
        <v/>
      </c>
      <c r="BH6" s="2" t="str">
        <f>IF(BH$4="","",MINDS!BH$73)</f>
        <v/>
      </c>
      <c r="BI6" s="2" t="str">
        <f>IF(BI$4="","",MINDS!BI$73)</f>
        <v/>
      </c>
      <c r="BJ6" s="2" t="str">
        <f>IF(BJ$4="","",MINDS!BJ$73)</f>
        <v/>
      </c>
      <c r="BK6" s="2" t="str">
        <f>IF(BK$4="","",MINDS!BK$73)</f>
        <v/>
      </c>
      <c r="BL6" s="2" t="str">
        <f>IF(BL$4="","",MINDS!BL$73)</f>
        <v/>
      </c>
      <c r="BM6" s="2" t="str">
        <f>IF(BM$4="","",MINDS!BM$73)</f>
        <v/>
      </c>
      <c r="BN6" s="2" t="str">
        <f>IF(BN$4="","",MINDS!BN$73)</f>
        <v/>
      </c>
      <c r="BO6" s="2" t="str">
        <f>IF(BO$4="","",MINDS!BO$73)</f>
        <v/>
      </c>
      <c r="BP6" s="2" t="str">
        <f>IF(BP$4="","",MINDS!BP$73)</f>
        <v/>
      </c>
      <c r="BQ6" s="2" t="str">
        <f>IF(BQ$4="","",MINDS!BQ$73)</f>
        <v/>
      </c>
      <c r="BR6" s="2" t="str">
        <f>IF(BR$4="","",MINDS!BR$73)</f>
        <v/>
      </c>
      <c r="BS6" s="2" t="str">
        <f>IF(BS$4="","",MINDS!BS$73)</f>
        <v/>
      </c>
      <c r="BT6" s="2" t="str">
        <f>IF(BT$4="","",MINDS!BT$73)</f>
        <v/>
      </c>
      <c r="BU6" s="2" t="str">
        <f>IF(BU$4="","",MINDS!BU$73)</f>
        <v/>
      </c>
      <c r="BV6" s="2" t="str">
        <f>IF(BV$4="","",MINDS!BV$73)</f>
        <v/>
      </c>
      <c r="BW6" s="2" t="str">
        <f>IF(BW$4="","",MINDS!BW$73)</f>
        <v/>
      </c>
      <c r="BX6" s="2" t="str">
        <f>IF(BX$4="","",MINDS!BX$73)</f>
        <v/>
      </c>
      <c r="BY6" s="2" t="str">
        <f>IF(BY$4="","",MINDS!BY$73)</f>
        <v/>
      </c>
      <c r="BZ6" s="2" t="str">
        <f>IF(BZ$4="","",MINDS!BZ$73)</f>
        <v/>
      </c>
      <c r="CA6" s="2" t="str">
        <f>IF(CA$4="","",MINDS!CA$73)</f>
        <v/>
      </c>
      <c r="CB6" s="2" t="str">
        <f>IF(CB$4="","",MINDS!CB$73)</f>
        <v/>
      </c>
      <c r="CC6" s="2" t="str">
        <f>IF(CC$4="","",MINDS!CC$73)</f>
        <v/>
      </c>
      <c r="CD6" s="2" t="str">
        <f>IF(CD$4="","",MINDS!CD$73)</f>
        <v/>
      </c>
      <c r="CE6" s="2" t="str">
        <f>IF(CE$4="","",MINDS!CE$73)</f>
        <v/>
      </c>
      <c r="CF6" s="2" t="str">
        <f>IF(CF$4="","",MINDS!CF$73)</f>
        <v/>
      </c>
      <c r="CG6" s="2" t="str">
        <f>IF(CG$4="","",MINDS!CG$73)</f>
        <v/>
      </c>
      <c r="CH6" s="2" t="str">
        <f>IF(CH$4="","",MINDS!CH$73)</f>
        <v/>
      </c>
      <c r="CI6" s="2" t="str">
        <f>IF(CI$4="","",MINDS!CI$73)</f>
        <v/>
      </c>
      <c r="CJ6" s="2" t="str">
        <f>IF(CJ$4="","",MINDS!CJ$73)</f>
        <v/>
      </c>
      <c r="CK6" s="2" t="str">
        <f>IF(CK$4="","",MINDS!CK$73)</f>
        <v/>
      </c>
      <c r="CL6" s="2" t="str">
        <f>IF(CL$4="","",MINDS!CL$73)</f>
        <v/>
      </c>
      <c r="CM6" s="2" t="str">
        <f>IF(CM$4="","",MINDS!CM$73)</f>
        <v/>
      </c>
      <c r="CN6" s="2" t="str">
        <f>IF(CN$4="","",MINDS!CN$73)</f>
        <v/>
      </c>
      <c r="CO6" s="2" t="str">
        <f>IF(CO$4="","",MINDS!CO$73)</f>
        <v/>
      </c>
      <c r="CP6" s="2" t="str">
        <f>IF(CP$4="","",MINDS!CP$73)</f>
        <v/>
      </c>
      <c r="CQ6" s="2" t="str">
        <f>IF(CQ$4="","",MINDS!CQ$73)</f>
        <v/>
      </c>
      <c r="CR6" s="2" t="str">
        <f>IF(CR$4="","",MINDS!CR$73)</f>
        <v/>
      </c>
      <c r="CS6" s="2" t="str">
        <f>IF(CS$4="","",MINDS!CS$73)</f>
        <v/>
      </c>
      <c r="CT6" s="2" t="str">
        <f>IF(CT$4="","",MINDS!CT$73)</f>
        <v/>
      </c>
      <c r="CU6" s="2" t="str">
        <f>IF(CU$4="","",MINDS!CU$73)</f>
        <v/>
      </c>
      <c r="CV6" s="2" t="str">
        <f>IF(CV$4="","",MINDS!CV$73)</f>
        <v/>
      </c>
      <c r="CW6" s="2" t="str">
        <f>IF(CW$4="","",MINDS!CW$73)</f>
        <v/>
      </c>
      <c r="CX6" s="2" t="str">
        <f>IF(CX$4="","",MINDS!CX$73)</f>
        <v/>
      </c>
      <c r="CY6" s="2" t="str">
        <f>IF(CY$4="","",MINDS!CY$73)</f>
        <v/>
      </c>
      <c r="CZ6" s="2" t="str">
        <f>IF(CZ$4="","",MINDS!CZ$73)</f>
        <v/>
      </c>
      <c r="DA6" s="2" t="str">
        <f>IF(DA$4="","",MINDS!DA$73)</f>
        <v/>
      </c>
      <c r="DB6" s="2" t="str">
        <f>IF(DB$4="","",MINDS!DB$73)</f>
        <v/>
      </c>
      <c r="DC6" s="2" t="str">
        <f>IF(DC$4="","",MINDS!DC$73)</f>
        <v/>
      </c>
      <c r="DD6" s="2" t="str">
        <f>IF(DD$4="","",MINDS!DD$73)</f>
        <v/>
      </c>
      <c r="DE6" s="2" t="str">
        <f>IF(DE$4="","",MINDS!DE$73)</f>
        <v/>
      </c>
      <c r="DF6" s="2" t="str">
        <f>IF(DF$4="","",MINDS!DF$73)</f>
        <v/>
      </c>
      <c r="DG6" s="2" t="str">
        <f>IF(DG$4="","",MINDS!DG$73)</f>
        <v/>
      </c>
      <c r="DH6" s="2" t="str">
        <f>IF(DH$4="","",MINDS!DH$73)</f>
        <v/>
      </c>
      <c r="DI6" s="2" t="str">
        <f>IF(DI$4="","",MINDS!DI$73)</f>
        <v/>
      </c>
      <c r="DJ6" s="2" t="str">
        <f>IF(DJ$4="","",MINDS!DJ$73)</f>
        <v/>
      </c>
      <c r="DK6" s="2" t="str">
        <f>IF(DK$4="","",MINDS!DK$73)</f>
        <v/>
      </c>
      <c r="DL6" s="2" t="str">
        <f>IF(DL$4="","",MINDS!DL$73)</f>
        <v/>
      </c>
      <c r="DM6" s="2" t="str">
        <f>IF(DM$4="","",MINDS!DM$73)</f>
        <v/>
      </c>
      <c r="DN6" s="2" t="str">
        <f>IF(DN$4="","",MINDS!DN$73)</f>
        <v/>
      </c>
      <c r="DO6" s="2" t="str">
        <f>IF(DO$4="","",MINDS!DO$73)</f>
        <v/>
      </c>
      <c r="DP6" s="2" t="str">
        <f>IF(DP$4="","",MINDS!DP$73)</f>
        <v/>
      </c>
      <c r="DQ6" s="2" t="str">
        <f>IF(DQ$4="","",MINDS!DQ$73)</f>
        <v/>
      </c>
      <c r="DR6" s="2" t="str">
        <f>IF(DR$4="","",MINDS!DR$73)</f>
        <v/>
      </c>
      <c r="DS6" s="2" t="str">
        <f>IF(DS$4="","",MINDS!DS$73)</f>
        <v/>
      </c>
      <c r="DT6" s="2" t="str">
        <f>IF(DT$4="","",MINDS!DT$73)</f>
        <v/>
      </c>
      <c r="DU6" s="2" t="str">
        <f>IF(DU$4="","",MINDS!DU$73)</f>
        <v/>
      </c>
      <c r="DV6" s="2" t="str">
        <f>IF(DV$4="","",MINDS!DV$73)</f>
        <v/>
      </c>
      <c r="DW6" s="2" t="str">
        <f>IF(DW$4="","",MINDS!DW$73)</f>
        <v/>
      </c>
      <c r="DX6" s="2" t="str">
        <f>IF(DX$4="","",MINDS!DX$73)</f>
        <v/>
      </c>
      <c r="DY6" s="2" t="str">
        <f>IF(DY$4="","",MINDS!DY$73)</f>
        <v/>
      </c>
      <c r="DZ6" s="2" t="str">
        <f>IF(DZ$4="","",MINDS!DZ$73)</f>
        <v/>
      </c>
      <c r="EA6" s="2" t="str">
        <f>IF(EA$4="","",MINDS!EA$73)</f>
        <v/>
      </c>
      <c r="EB6" s="2" t="str">
        <f>IF(EB$4="","",MINDS!EB$73)</f>
        <v/>
      </c>
      <c r="EC6" s="2" t="str">
        <f>IF(EC$4="","",MINDS!EC$73)</f>
        <v/>
      </c>
      <c r="ED6" s="2" t="str">
        <f>IF(ED$4="","",MINDS!ED$73)</f>
        <v/>
      </c>
      <c r="EE6" s="2" t="str">
        <f>IF(EE$4="","",MINDS!EE$73)</f>
        <v/>
      </c>
      <c r="EF6" s="2" t="str">
        <f>IF(EF$4="","",MINDS!EF$73)</f>
        <v/>
      </c>
      <c r="EG6" s="2" t="str">
        <f>IF(EG$4="","",MINDS!EG$73)</f>
        <v/>
      </c>
      <c r="EH6" s="2" t="str">
        <f>IF(EH$4="","",MINDS!EH$73)</f>
        <v/>
      </c>
      <c r="EI6" s="2" t="str">
        <f>IF(EI$4="","",MINDS!EI$73)</f>
        <v/>
      </c>
      <c r="EJ6" s="2" t="str">
        <f>IF(EJ$4="","",MINDS!EJ$73)</f>
        <v/>
      </c>
      <c r="EK6" s="2" t="str">
        <f>IF(EK$4="","",MINDS!EK$73)</f>
        <v/>
      </c>
      <c r="EL6" s="2" t="str">
        <f>IF(EL$4="","",MINDS!EL$73)</f>
        <v/>
      </c>
      <c r="EM6" s="2" t="str">
        <f>IF(EM$4="","",MINDS!EM$73)</f>
        <v/>
      </c>
      <c r="EN6" s="2" t="str">
        <f>IF(EN$4="","",MINDS!EN$73)</f>
        <v/>
      </c>
      <c r="EO6" s="2" t="str">
        <f>IF(EO$4="","",MINDS!EO$73)</f>
        <v/>
      </c>
      <c r="EP6" s="2" t="str">
        <f>IF(EP$4="","",MINDS!EP$73)</f>
        <v/>
      </c>
      <c r="EQ6" s="2" t="str">
        <f>IF(EQ$4="","",MINDS!EQ$73)</f>
        <v/>
      </c>
      <c r="ER6" s="2" t="str">
        <f>IF(ER$4="","",MINDS!ER$73)</f>
        <v/>
      </c>
      <c r="ES6" s="2" t="str">
        <f>IF(ES$4="","",MINDS!ES$73)</f>
        <v/>
      </c>
      <c r="ET6" s="2" t="str">
        <f>IF(ET$4="","",MINDS!ET$73)</f>
        <v/>
      </c>
      <c r="EU6" s="2" t="str">
        <f>IF(EU$4="","",MINDS!EU$73)</f>
        <v/>
      </c>
      <c r="EV6" s="2" t="str">
        <f>IF(EV$4="","",MINDS!EV$73)</f>
        <v/>
      </c>
      <c r="EW6" s="2" t="str">
        <f>IF(EW$4="","",MINDS!EW$73)</f>
        <v/>
      </c>
      <c r="EX6" s="2" t="str">
        <f>IF(EX$4="","",MINDS!EX$73)</f>
        <v/>
      </c>
      <c r="EY6" s="2" t="str">
        <f>IF(EY$4="","",MINDS!EY$73)</f>
        <v/>
      </c>
      <c r="EZ6" s="2" t="str">
        <f>IF(EZ$4="","",MINDS!EZ$73)</f>
        <v/>
      </c>
      <c r="FA6" s="2" t="str">
        <f>IF(FA$4="","",MINDS!FA$73)</f>
        <v/>
      </c>
      <c r="FB6" s="2" t="str">
        <f>IF(FB$4="","",MINDS!FB$73)</f>
        <v/>
      </c>
      <c r="FC6" s="2" t="str">
        <f>IF(FC$4="","",MINDS!FC$73)</f>
        <v/>
      </c>
      <c r="FD6" s="2" t="str">
        <f>IF(FD$4="","",MINDS!FD$73)</f>
        <v/>
      </c>
      <c r="FE6" s="2" t="str">
        <f>IF(FE$4="","",MINDS!FE$73)</f>
        <v/>
      </c>
      <c r="FF6" s="2" t="str">
        <f>IF(FF$4="","",MINDS!FF$73)</f>
        <v/>
      </c>
      <c r="FG6" s="2" t="str">
        <f>IF(FG$4="","",MINDS!FG$73)</f>
        <v/>
      </c>
      <c r="FH6" s="2" t="str">
        <f>IF(FH$4="","",MINDS!FH$73)</f>
        <v/>
      </c>
      <c r="FI6" s="2" t="str">
        <f>IF(FI$4="","",MINDS!FI$73)</f>
        <v/>
      </c>
      <c r="FJ6" s="2" t="str">
        <f>IF(FJ$4="","",MINDS!FJ$73)</f>
        <v/>
      </c>
      <c r="FK6" s="2" t="str">
        <f>IF(FK$4="","",MINDS!FK$73)</f>
        <v/>
      </c>
      <c r="FL6" s="2" t="str">
        <f>IF(FL$4="","",MINDS!FL$73)</f>
        <v/>
      </c>
      <c r="FM6" s="2" t="str">
        <f>IF(FM$4="","",MINDS!FM$73)</f>
        <v/>
      </c>
      <c r="FN6" s="2" t="str">
        <f>IF(FN$4="","",MINDS!FN$73)</f>
        <v/>
      </c>
      <c r="FO6" s="2" t="str">
        <f>IF(FO$4="","",MINDS!FO$73)</f>
        <v/>
      </c>
      <c r="FP6" s="2" t="str">
        <f>IF(FP$4="","",MINDS!FP$73)</f>
        <v/>
      </c>
      <c r="FQ6" s="2" t="str">
        <f>IF(FQ$4="","",MINDS!FQ$73)</f>
        <v/>
      </c>
      <c r="FR6" s="2" t="str">
        <f>IF(FR$4="","",MINDS!FR$73)</f>
        <v/>
      </c>
      <c r="FS6" s="2" t="str">
        <f>IF(FS$4="","",MINDS!FS$73)</f>
        <v/>
      </c>
      <c r="FT6" s="2" t="str">
        <f>IF(FT$4="","",MINDS!FT$73)</f>
        <v/>
      </c>
      <c r="FU6" s="2" t="str">
        <f>IF(FU$4="","",MINDS!FU$73)</f>
        <v/>
      </c>
      <c r="FV6" s="2" t="str">
        <f>IF(FV$4="","",MINDS!FV$73)</f>
        <v/>
      </c>
      <c r="FW6" s="2" t="str">
        <f>IF(FW$4="","",MINDS!FW$73)</f>
        <v/>
      </c>
      <c r="FX6" s="2" t="str">
        <f>IF(FX$4="","",MINDS!FX$73)</f>
        <v/>
      </c>
      <c r="FY6" s="2" t="str">
        <f>IF(FY$4="","",MINDS!FY$73)</f>
        <v/>
      </c>
      <c r="FZ6" s="2" t="str">
        <f>IF(FZ$4="","",MINDS!FZ$73)</f>
        <v/>
      </c>
      <c r="GA6" s="2" t="str">
        <f>IF(GA$4="","",MINDS!GA$73)</f>
        <v/>
      </c>
      <c r="GB6" s="2" t="str">
        <f>IF(GB$4="","",MINDS!GB$73)</f>
        <v/>
      </c>
      <c r="GC6" s="2" t="str">
        <f>IF(GC$4="","",MINDS!GC$73)</f>
        <v/>
      </c>
      <c r="GD6" s="2" t="str">
        <f>IF(GD$4="","",MINDS!GD$73)</f>
        <v/>
      </c>
      <c r="GE6" s="2" t="str">
        <f>IF(GE$4="","",MINDS!GE$73)</f>
        <v/>
      </c>
      <c r="GF6" s="2" t="str">
        <f>IF(GF$4="","",MINDS!GF$73)</f>
        <v/>
      </c>
      <c r="GG6" s="2" t="str">
        <f>IF(GG$4="","",MINDS!GG$73)</f>
        <v/>
      </c>
      <c r="GH6" s="2" t="str">
        <f>IF(GH$4="","",MINDS!GH$73)</f>
        <v/>
      </c>
      <c r="GI6" s="2" t="str">
        <f>IF(GI$4="","",MINDS!GI$73)</f>
        <v/>
      </c>
      <c r="GJ6" s="2" t="str">
        <f>IF(GJ$4="","",MINDS!GJ$73)</f>
        <v/>
      </c>
      <c r="GK6" s="2" t="str">
        <f>IF(GK$4="","",MINDS!GK$73)</f>
        <v/>
      </c>
      <c r="GL6" s="2" t="str">
        <f>IF(GL$4="","",MINDS!GL$73)</f>
        <v/>
      </c>
      <c r="GM6" s="2" t="str">
        <f>IF(GM$4="","",MINDS!GM$73)</f>
        <v/>
      </c>
      <c r="GN6" s="2" t="str">
        <f>IF(GN$4="","",MINDS!GN$73)</f>
        <v/>
      </c>
      <c r="GO6" s="2" t="str">
        <f>IF(GO$4="","",MINDS!GO$73)</f>
        <v/>
      </c>
      <c r="GP6" s="2" t="str">
        <f>IF(GP$4="","",MINDS!GP$73)</f>
        <v/>
      </c>
      <c r="GQ6" s="2" t="str">
        <f>IF(GQ$4="","",MINDS!GQ$73)</f>
        <v/>
      </c>
      <c r="GR6" s="2" t="str">
        <f>IF(GR$4="","",MINDS!GR$73)</f>
        <v/>
      </c>
      <c r="GS6" s="2" t="str">
        <f>IF(GS$4="","",MINDS!GS$73)</f>
        <v/>
      </c>
      <c r="GT6" s="2" t="str">
        <f>IF(GT$4="","",MINDS!GT$73)</f>
        <v/>
      </c>
      <c r="GU6" s="2" t="str">
        <f>IF(GU$4="","",MINDS!GU$73)</f>
        <v/>
      </c>
      <c r="GV6" s="2" t="str">
        <f>IF(GV$4="","",MINDS!GV$73)</f>
        <v/>
      </c>
      <c r="GW6" s="2" t="str">
        <f>IF(GW$4="","",MINDS!GW$73)</f>
        <v/>
      </c>
      <c r="GX6" s="2" t="str">
        <f>IF(GX$4="","",MINDS!GX$73)</f>
        <v/>
      </c>
      <c r="GY6" s="2" t="str">
        <f>IF(GY$4="","",MINDS!GY$73)</f>
        <v/>
      </c>
      <c r="GZ6" s="2" t="str">
        <f>IF(GZ$4="","",MINDS!GZ$73)</f>
        <v/>
      </c>
      <c r="HA6" s="2" t="str">
        <f>IF(HA$4="","",MINDS!HA$73)</f>
        <v/>
      </c>
      <c r="HB6" s="2" t="str">
        <f>IF(HB$4="","",MINDS!HB$73)</f>
        <v/>
      </c>
      <c r="HC6" s="2" t="str">
        <f>IF(HC$4="","",MINDS!HC$73)</f>
        <v/>
      </c>
      <c r="HD6" s="2" t="str">
        <f>IF(HD$4="","",MINDS!HD$73)</f>
        <v/>
      </c>
      <c r="HE6" s="2" t="str">
        <f>IF(HE$4="","",MINDS!HE$73)</f>
        <v/>
      </c>
      <c r="HF6" s="2" t="str">
        <f>IF(HF$4="","",MINDS!HF$73)</f>
        <v/>
      </c>
      <c r="HG6" s="2" t="str">
        <f>IF(HG$4="","",MINDS!HG$73)</f>
        <v/>
      </c>
      <c r="HH6" s="2" t="str">
        <f>IF(HH$4="","",MINDS!HH$73)</f>
        <v/>
      </c>
      <c r="HI6" s="2" t="str">
        <f>IF(HI$4="","",MINDS!HI$73)</f>
        <v/>
      </c>
      <c r="HJ6" s="2" t="str">
        <f>IF(HJ$4="","",MINDS!HJ$73)</f>
        <v/>
      </c>
      <c r="HK6" s="2" t="str">
        <f>IF(HK$4="","",MINDS!HK$73)</f>
        <v/>
      </c>
      <c r="HL6" s="2" t="str">
        <f>IF(HL$4="","",MINDS!HL$73)</f>
        <v/>
      </c>
      <c r="HM6" s="2" t="str">
        <f>IF(HM$4="","",MINDS!HM$73)</f>
        <v/>
      </c>
      <c r="HN6" s="2" t="str">
        <f>IF(HN$4="","",MINDS!HN$73)</f>
        <v/>
      </c>
      <c r="HO6" s="2" t="str">
        <f>IF(HO$4="","",MINDS!HO$73)</f>
        <v/>
      </c>
      <c r="HP6" s="2" t="str">
        <f>IF(HP$4="","",MINDS!HP$73)</f>
        <v/>
      </c>
      <c r="HQ6" s="2" t="str">
        <f>IF(HQ$4="","",MINDS!HQ$73)</f>
        <v/>
      </c>
      <c r="HR6" s="2" t="str">
        <f>IF(HR$4="","",MINDS!HR$73)</f>
        <v/>
      </c>
      <c r="HS6" s="2" t="str">
        <f>IF(HS$4="","",MINDS!HS$73)</f>
        <v/>
      </c>
      <c r="HT6" s="2" t="str">
        <f>IF(HT$4="","",MINDS!HT$73)</f>
        <v/>
      </c>
      <c r="HU6" s="2" t="str">
        <f>IF(HU$4="","",MINDS!HU$73)</f>
        <v/>
      </c>
      <c r="HV6" s="2" t="str">
        <f>IF(HV$4="","",MINDS!HV$73)</f>
        <v/>
      </c>
      <c r="HW6" s="2" t="str">
        <f>IF(HW$4="","",MINDS!HW$73)</f>
        <v/>
      </c>
      <c r="HX6" s="2" t="str">
        <f>IF(HX$4="","",MINDS!HX$73)</f>
        <v/>
      </c>
      <c r="HY6" s="2" t="str">
        <f>IF(HY$4="","",MINDS!HY$73)</f>
        <v/>
      </c>
      <c r="HZ6" s="2" t="str">
        <f>IF(HZ$4="","",MINDS!HZ$73)</f>
        <v/>
      </c>
      <c r="IA6" s="2" t="str">
        <f>IF(IA$4="","",MINDS!IA$73)</f>
        <v/>
      </c>
      <c r="IB6" s="2" t="str">
        <f>IF(IB$4="","",MINDS!IB$73)</f>
        <v/>
      </c>
      <c r="IC6" s="2" t="str">
        <f>IF(IC$4="","",MINDS!IC$73)</f>
        <v/>
      </c>
      <c r="ID6" s="2" t="str">
        <f>IF(ID$4="","",MINDS!ID$73)</f>
        <v/>
      </c>
      <c r="IE6" s="2" t="str">
        <f>IF(IE$4="","",MINDS!IE$73)</f>
        <v/>
      </c>
      <c r="IF6" s="2" t="str">
        <f>IF(IF$4="","",MINDS!IF$73)</f>
        <v/>
      </c>
      <c r="IG6" s="2" t="str">
        <f>IF(IG$4="","",MINDS!IG$73)</f>
        <v/>
      </c>
      <c r="IH6" s="2" t="str">
        <f>IF(IH$4="","",MINDS!IH$73)</f>
        <v/>
      </c>
      <c r="II6" s="2" t="str">
        <f>IF(II$4="","",MINDS!II$73)</f>
        <v/>
      </c>
      <c r="IJ6" s="2" t="str">
        <f>IF(IJ$4="","",MINDS!IJ$73)</f>
        <v/>
      </c>
      <c r="IK6" s="2" t="str">
        <f>IF(IK$4="","",MINDS!IK$73)</f>
        <v/>
      </c>
      <c r="IL6" s="2" t="str">
        <f>IF(IL$4="","",MINDS!IL$73)</f>
        <v/>
      </c>
      <c r="IM6" s="2" t="str">
        <f>IF(IM$4="","",MINDS!IM$73)</f>
        <v/>
      </c>
      <c r="IN6" s="2" t="str">
        <f>IF(IN$4="","",MINDS!IN$73)</f>
        <v/>
      </c>
      <c r="IO6" s="2" t="str">
        <f>IF(IO$4="","",MINDS!IO$73)</f>
        <v/>
      </c>
      <c r="IP6" s="2" t="str">
        <f>IF(IP$4="","",MINDS!IP$73)</f>
        <v/>
      </c>
      <c r="IQ6" s="2" t="str">
        <f>IF(IQ$4="","",MINDS!IQ$73)</f>
        <v/>
      </c>
      <c r="IR6" s="2" t="str">
        <f>IF(IR$4="","",MINDS!IR$73)</f>
        <v/>
      </c>
      <c r="IS6" s="2" t="str">
        <f>IF(IS$4="","",MINDS!IS$73)</f>
        <v/>
      </c>
      <c r="IT6" s="2" t="str">
        <f>IF(IT$4="","",MINDS!IT$73)</f>
        <v/>
      </c>
      <c r="IU6" s="2" t="str">
        <f>IF(IU$4="","",MINDS!IU$73)</f>
        <v/>
      </c>
      <c r="IV6" s="2" t="str">
        <f>IF(IV$4="","",MINDS!IV$73)</f>
        <v/>
      </c>
    </row>
    <row r="7" spans="1:256" x14ac:dyDescent="0.2">
      <c r="A7" s="3" t="s">
        <v>30</v>
      </c>
      <c r="C7" s="2" t="str">
        <f>IF(C$4="","",MINDS!C$80)</f>
        <v/>
      </c>
      <c r="D7" s="2" t="str">
        <f>IF(D$4="","",MINDS!D$80)</f>
        <v/>
      </c>
      <c r="E7" s="2" t="str">
        <f>IF(E$4="","",MINDS!E$80)</f>
        <v/>
      </c>
      <c r="F7" s="2" t="str">
        <f>IF(F$4="","",MINDS!F$80)</f>
        <v/>
      </c>
      <c r="G7" s="2" t="str">
        <f>IF(G$4="","",MINDS!G$80)</f>
        <v/>
      </c>
      <c r="H7" s="2" t="str">
        <f>IF(H$4="","",MINDS!H$80)</f>
        <v/>
      </c>
      <c r="I7" s="2" t="str">
        <f>IF(I$4="","",MINDS!I$80)</f>
        <v/>
      </c>
      <c r="J7" s="2" t="str">
        <f>IF(J$4="","",MINDS!J$80)</f>
        <v/>
      </c>
      <c r="K7" s="2" t="str">
        <f>IF(K$4="","",MINDS!K$80)</f>
        <v/>
      </c>
      <c r="L7" s="2" t="str">
        <f>IF(L$4="","",MINDS!L$80)</f>
        <v/>
      </c>
      <c r="M7" s="2" t="str">
        <f>IF(M$4="","",MINDS!M$80)</f>
        <v/>
      </c>
      <c r="N7" s="2" t="str">
        <f>IF(N$4="","",MINDS!N$80)</f>
        <v/>
      </c>
      <c r="O7" s="2" t="str">
        <f>IF(O$4="","",MINDS!O$80)</f>
        <v/>
      </c>
      <c r="P7" s="2" t="str">
        <f>IF(P$4="","",MINDS!P$80)</f>
        <v/>
      </c>
      <c r="Q7" s="2" t="str">
        <f>IF(Q$4="","",MINDS!Q$80)</f>
        <v/>
      </c>
      <c r="R7" s="2" t="str">
        <f>IF(R$4="","",MINDS!R$80)</f>
        <v/>
      </c>
      <c r="S7" s="2" t="str">
        <f>IF(S$4="","",MINDS!S$80)</f>
        <v/>
      </c>
      <c r="T7" s="2" t="str">
        <f>IF(T$4="","",MINDS!T$80)</f>
        <v/>
      </c>
      <c r="U7" s="2" t="str">
        <f>IF(U$4="","",MINDS!U$80)</f>
        <v/>
      </c>
      <c r="V7" s="2" t="str">
        <f>IF(V$4="","",MINDS!V$80)</f>
        <v/>
      </c>
      <c r="W7" s="2" t="str">
        <f>IF(W$4="","",MINDS!W$80)</f>
        <v/>
      </c>
      <c r="X7" s="2" t="str">
        <f>IF(X$4="","",MINDS!X$80)</f>
        <v/>
      </c>
      <c r="Y7" s="2" t="str">
        <f>IF(Y$4="","",MINDS!Y$80)</f>
        <v/>
      </c>
      <c r="Z7" s="2" t="str">
        <f>IF(Z$4="","",MINDS!Z$80)</f>
        <v/>
      </c>
      <c r="AA7" s="2" t="str">
        <f>IF(AA$4="","",MINDS!AA$80)</f>
        <v/>
      </c>
      <c r="AB7" s="2" t="str">
        <f>IF(AB$4="","",MINDS!AB$80)</f>
        <v/>
      </c>
      <c r="AC7" s="2" t="str">
        <f>IF(AC$4="","",MINDS!AC$80)</f>
        <v/>
      </c>
      <c r="AD7" s="2" t="str">
        <f>IF(AD$4="","",MINDS!AD$80)</f>
        <v/>
      </c>
      <c r="AE7" s="2" t="str">
        <f>IF(AE$4="","",MINDS!AE$80)</f>
        <v/>
      </c>
      <c r="AF7" s="2" t="str">
        <f>IF(AF$4="","",MINDS!AF$80)</f>
        <v/>
      </c>
      <c r="AG7" s="2" t="str">
        <f>IF(AG$4="","",MINDS!AG$80)</f>
        <v/>
      </c>
      <c r="AH7" s="2" t="str">
        <f>IF(AH$4="","",MINDS!AH$80)</f>
        <v/>
      </c>
      <c r="AI7" s="2" t="str">
        <f>IF(AI$4="","",MINDS!AI$80)</f>
        <v/>
      </c>
      <c r="AJ7" s="2" t="str">
        <f>IF(AJ$4="","",MINDS!AJ$80)</f>
        <v/>
      </c>
      <c r="AK7" s="2" t="str">
        <f>IF(AK$4="","",MINDS!AK$80)</f>
        <v/>
      </c>
      <c r="AL7" s="2" t="str">
        <f>IF(AL$4="","",MINDS!AL$80)</f>
        <v/>
      </c>
      <c r="AM7" s="2" t="str">
        <f>IF(AM$4="","",MINDS!AM$80)</f>
        <v/>
      </c>
      <c r="AN7" s="2" t="str">
        <f>IF(AN$4="","",MINDS!AN$80)</f>
        <v/>
      </c>
      <c r="AO7" s="2" t="str">
        <f>IF(AO$4="","",MINDS!AO$80)</f>
        <v/>
      </c>
      <c r="AP7" s="2" t="str">
        <f>IF(AP$4="","",MINDS!AP$80)</f>
        <v/>
      </c>
      <c r="AQ7" s="2" t="str">
        <f>IF(AQ$4="","",MINDS!AQ$80)</f>
        <v/>
      </c>
      <c r="AR7" s="2" t="str">
        <f>IF(AR$4="","",MINDS!AR$80)</f>
        <v/>
      </c>
      <c r="AS7" s="2" t="str">
        <f>IF(AS$4="","",MINDS!AS$80)</f>
        <v/>
      </c>
      <c r="AT7" s="2" t="str">
        <f>IF(AT$4="","",MINDS!AT$80)</f>
        <v/>
      </c>
      <c r="AU7" s="2" t="str">
        <f>IF(AU$4="","",MINDS!AU$80)</f>
        <v/>
      </c>
      <c r="AV7" s="2" t="str">
        <f>IF(AV$4="","",MINDS!AV$80)</f>
        <v/>
      </c>
      <c r="AW7" s="2" t="str">
        <f>IF(AW$4="","",MINDS!AW$80)</f>
        <v/>
      </c>
      <c r="AX7" s="2" t="str">
        <f>IF(AX$4="","",MINDS!AX$80)</f>
        <v/>
      </c>
      <c r="AY7" s="2" t="str">
        <f>IF(AY$4="","",MINDS!AY$80)</f>
        <v/>
      </c>
      <c r="AZ7" s="2" t="str">
        <f>IF(AZ$4="","",MINDS!AZ$80)</f>
        <v/>
      </c>
      <c r="BA7" s="2" t="str">
        <f>IF(BA$4="","",MINDS!BA$80)</f>
        <v/>
      </c>
      <c r="BB7" s="2" t="str">
        <f>IF(BB$4="","",MINDS!BB$80)</f>
        <v/>
      </c>
      <c r="BC7" s="2" t="str">
        <f>IF(BC$4="","",MINDS!BC$80)</f>
        <v/>
      </c>
      <c r="BD7" s="2" t="str">
        <f>IF(BD$4="","",MINDS!BD$80)</f>
        <v/>
      </c>
      <c r="BE7" s="2" t="str">
        <f>IF(BE$4="","",MINDS!BE$80)</f>
        <v/>
      </c>
      <c r="BF7" s="2" t="str">
        <f>IF(BF$4="","",MINDS!BF$80)</f>
        <v/>
      </c>
      <c r="BG7" s="2" t="str">
        <f>IF(BG$4="","",MINDS!BG$80)</f>
        <v/>
      </c>
      <c r="BH7" s="2" t="str">
        <f>IF(BH$4="","",MINDS!BH$80)</f>
        <v/>
      </c>
      <c r="BI7" s="2" t="str">
        <f>IF(BI$4="","",MINDS!BI$80)</f>
        <v/>
      </c>
      <c r="BJ7" s="2" t="str">
        <f>IF(BJ$4="","",MINDS!BJ$80)</f>
        <v/>
      </c>
      <c r="BK7" s="2" t="str">
        <f>IF(BK$4="","",MINDS!BK$80)</f>
        <v/>
      </c>
      <c r="BL7" s="2" t="str">
        <f>IF(BL$4="","",MINDS!BL$80)</f>
        <v/>
      </c>
      <c r="BM7" s="2" t="str">
        <f>IF(BM$4="","",MINDS!BM$80)</f>
        <v/>
      </c>
      <c r="BN7" s="2" t="str">
        <f>IF(BN$4="","",MINDS!BN$80)</f>
        <v/>
      </c>
      <c r="BO7" s="2" t="str">
        <f>IF(BO$4="","",MINDS!BO$80)</f>
        <v/>
      </c>
      <c r="BP7" s="2" t="str">
        <f>IF(BP$4="","",MINDS!BP$80)</f>
        <v/>
      </c>
      <c r="BQ7" s="2" t="str">
        <f>IF(BQ$4="","",MINDS!BQ$80)</f>
        <v/>
      </c>
      <c r="BR7" s="2" t="str">
        <f>IF(BR$4="","",MINDS!BR$80)</f>
        <v/>
      </c>
      <c r="BS7" s="2" t="str">
        <f>IF(BS$4="","",MINDS!BS$80)</f>
        <v/>
      </c>
      <c r="BT7" s="2" t="str">
        <f>IF(BT$4="","",MINDS!BT$80)</f>
        <v/>
      </c>
      <c r="BU7" s="2" t="str">
        <f>IF(BU$4="","",MINDS!BU$80)</f>
        <v/>
      </c>
      <c r="BV7" s="2" t="str">
        <f>IF(BV$4="","",MINDS!BV$80)</f>
        <v/>
      </c>
      <c r="BW7" s="2" t="str">
        <f>IF(BW$4="","",MINDS!BW$80)</f>
        <v/>
      </c>
      <c r="BX7" s="2" t="str">
        <f>IF(BX$4="","",MINDS!BX$80)</f>
        <v/>
      </c>
      <c r="BY7" s="2" t="str">
        <f>IF(BY$4="","",MINDS!BY$80)</f>
        <v/>
      </c>
      <c r="BZ7" s="2" t="str">
        <f>IF(BZ$4="","",MINDS!BZ$80)</f>
        <v/>
      </c>
      <c r="CA7" s="2" t="str">
        <f>IF(CA$4="","",MINDS!CA$80)</f>
        <v/>
      </c>
      <c r="CB7" s="2" t="str">
        <f>IF(CB$4="","",MINDS!CB$80)</f>
        <v/>
      </c>
      <c r="CC7" s="2" t="str">
        <f>IF(CC$4="","",MINDS!CC$80)</f>
        <v/>
      </c>
      <c r="CD7" s="2" t="str">
        <f>IF(CD$4="","",MINDS!CD$80)</f>
        <v/>
      </c>
      <c r="CE7" s="2" t="str">
        <f>IF(CE$4="","",MINDS!CE$80)</f>
        <v/>
      </c>
      <c r="CF7" s="2" t="str">
        <f>IF(CF$4="","",MINDS!CF$80)</f>
        <v/>
      </c>
      <c r="CG7" s="2" t="str">
        <f>IF(CG$4="","",MINDS!CG$80)</f>
        <v/>
      </c>
      <c r="CH7" s="2" t="str">
        <f>IF(CH$4="","",MINDS!CH$80)</f>
        <v/>
      </c>
      <c r="CI7" s="2" t="str">
        <f>IF(CI$4="","",MINDS!CI$80)</f>
        <v/>
      </c>
      <c r="CJ7" s="2" t="str">
        <f>IF(CJ$4="","",MINDS!CJ$80)</f>
        <v/>
      </c>
      <c r="CK7" s="2" t="str">
        <f>IF(CK$4="","",MINDS!CK$80)</f>
        <v/>
      </c>
      <c r="CL7" s="2" t="str">
        <f>IF(CL$4="","",MINDS!CL$80)</f>
        <v/>
      </c>
      <c r="CM7" s="2" t="str">
        <f>IF(CM$4="","",MINDS!CM$80)</f>
        <v/>
      </c>
      <c r="CN7" s="2" t="str">
        <f>IF(CN$4="","",MINDS!CN$80)</f>
        <v/>
      </c>
      <c r="CO7" s="2" t="str">
        <f>IF(CO$4="","",MINDS!CO$80)</f>
        <v/>
      </c>
      <c r="CP7" s="2" t="str">
        <f>IF(CP$4="","",MINDS!CP$80)</f>
        <v/>
      </c>
      <c r="CQ7" s="2" t="str">
        <f>IF(CQ$4="","",MINDS!CQ$80)</f>
        <v/>
      </c>
      <c r="CR7" s="2" t="str">
        <f>IF(CR$4="","",MINDS!CR$80)</f>
        <v/>
      </c>
      <c r="CS7" s="2" t="str">
        <f>IF(CS$4="","",MINDS!CS$80)</f>
        <v/>
      </c>
      <c r="CT7" s="2" t="str">
        <f>IF(CT$4="","",MINDS!CT$80)</f>
        <v/>
      </c>
      <c r="CU7" s="2" t="str">
        <f>IF(CU$4="","",MINDS!CU$80)</f>
        <v/>
      </c>
      <c r="CV7" s="2" t="str">
        <f>IF(CV$4="","",MINDS!CV$80)</f>
        <v/>
      </c>
      <c r="CW7" s="2" t="str">
        <f>IF(CW$4="","",MINDS!CW$80)</f>
        <v/>
      </c>
      <c r="CX7" s="2" t="str">
        <f>IF(CX$4="","",MINDS!CX$80)</f>
        <v/>
      </c>
      <c r="CY7" s="2" t="str">
        <f>IF(CY$4="","",MINDS!CY$80)</f>
        <v/>
      </c>
      <c r="CZ7" s="2" t="str">
        <f>IF(CZ$4="","",MINDS!CZ$80)</f>
        <v/>
      </c>
      <c r="DA7" s="2" t="str">
        <f>IF(DA$4="","",MINDS!DA$80)</f>
        <v/>
      </c>
      <c r="DB7" s="2" t="str">
        <f>IF(DB$4="","",MINDS!DB$80)</f>
        <v/>
      </c>
      <c r="DC7" s="2" t="str">
        <f>IF(DC$4="","",MINDS!DC$80)</f>
        <v/>
      </c>
      <c r="DD7" s="2" t="str">
        <f>IF(DD$4="","",MINDS!DD$80)</f>
        <v/>
      </c>
      <c r="DE7" s="2" t="str">
        <f>IF(DE$4="","",MINDS!DE$80)</f>
        <v/>
      </c>
      <c r="DF7" s="2" t="str">
        <f>IF(DF$4="","",MINDS!DF$80)</f>
        <v/>
      </c>
      <c r="DG7" s="2" t="str">
        <f>IF(DG$4="","",MINDS!DG$80)</f>
        <v/>
      </c>
      <c r="DH7" s="2" t="str">
        <f>IF(DH$4="","",MINDS!DH$80)</f>
        <v/>
      </c>
      <c r="DI7" s="2" t="str">
        <f>IF(DI$4="","",MINDS!DI$80)</f>
        <v/>
      </c>
      <c r="DJ7" s="2" t="str">
        <f>IF(DJ$4="","",MINDS!DJ$80)</f>
        <v/>
      </c>
      <c r="DK7" s="2" t="str">
        <f>IF(DK$4="","",MINDS!DK$80)</f>
        <v/>
      </c>
      <c r="DL7" s="2" t="str">
        <f>IF(DL$4="","",MINDS!DL$80)</f>
        <v/>
      </c>
      <c r="DM7" s="2" t="str">
        <f>IF(DM$4="","",MINDS!DM$80)</f>
        <v/>
      </c>
      <c r="DN7" s="2" t="str">
        <f>IF(DN$4="","",MINDS!DN$80)</f>
        <v/>
      </c>
      <c r="DO7" s="2" t="str">
        <f>IF(DO$4="","",MINDS!DO$80)</f>
        <v/>
      </c>
      <c r="DP7" s="2" t="str">
        <f>IF(DP$4="","",MINDS!DP$80)</f>
        <v/>
      </c>
      <c r="DQ7" s="2" t="str">
        <f>IF(DQ$4="","",MINDS!DQ$80)</f>
        <v/>
      </c>
      <c r="DR7" s="2" t="str">
        <f>IF(DR$4="","",MINDS!DR$80)</f>
        <v/>
      </c>
      <c r="DS7" s="2" t="str">
        <f>IF(DS$4="","",MINDS!DS$80)</f>
        <v/>
      </c>
      <c r="DT7" s="2" t="str">
        <f>IF(DT$4="","",MINDS!DT$80)</f>
        <v/>
      </c>
      <c r="DU7" s="2" t="str">
        <f>IF(DU$4="","",MINDS!DU$80)</f>
        <v/>
      </c>
      <c r="DV7" s="2" t="str">
        <f>IF(DV$4="","",MINDS!DV$80)</f>
        <v/>
      </c>
      <c r="DW7" s="2" t="str">
        <f>IF(DW$4="","",MINDS!DW$80)</f>
        <v/>
      </c>
      <c r="DX7" s="2" t="str">
        <f>IF(DX$4="","",MINDS!DX$80)</f>
        <v/>
      </c>
      <c r="DY7" s="2" t="str">
        <f>IF(DY$4="","",MINDS!DY$80)</f>
        <v/>
      </c>
      <c r="DZ7" s="2" t="str">
        <f>IF(DZ$4="","",MINDS!DZ$80)</f>
        <v/>
      </c>
      <c r="EA7" s="2" t="str">
        <f>IF(EA$4="","",MINDS!EA$80)</f>
        <v/>
      </c>
      <c r="EB7" s="2" t="str">
        <f>IF(EB$4="","",MINDS!EB$80)</f>
        <v/>
      </c>
      <c r="EC7" s="2" t="str">
        <f>IF(EC$4="","",MINDS!EC$80)</f>
        <v/>
      </c>
      <c r="ED7" s="2" t="str">
        <f>IF(ED$4="","",MINDS!ED$80)</f>
        <v/>
      </c>
      <c r="EE7" s="2" t="str">
        <f>IF(EE$4="","",MINDS!EE$80)</f>
        <v/>
      </c>
      <c r="EF7" s="2" t="str">
        <f>IF(EF$4="","",MINDS!EF$80)</f>
        <v/>
      </c>
      <c r="EG7" s="2" t="str">
        <f>IF(EG$4="","",MINDS!EG$80)</f>
        <v/>
      </c>
      <c r="EH7" s="2" t="str">
        <f>IF(EH$4="","",MINDS!EH$80)</f>
        <v/>
      </c>
      <c r="EI7" s="2" t="str">
        <f>IF(EI$4="","",MINDS!EI$80)</f>
        <v/>
      </c>
      <c r="EJ7" s="2" t="str">
        <f>IF(EJ$4="","",MINDS!EJ$80)</f>
        <v/>
      </c>
      <c r="EK7" s="2" t="str">
        <f>IF(EK$4="","",MINDS!EK$80)</f>
        <v/>
      </c>
      <c r="EL7" s="2" t="str">
        <f>IF(EL$4="","",MINDS!EL$80)</f>
        <v/>
      </c>
      <c r="EM7" s="2" t="str">
        <f>IF(EM$4="","",MINDS!EM$80)</f>
        <v/>
      </c>
      <c r="EN7" s="2" t="str">
        <f>IF(EN$4="","",MINDS!EN$80)</f>
        <v/>
      </c>
      <c r="EO7" s="2" t="str">
        <f>IF(EO$4="","",MINDS!EO$80)</f>
        <v/>
      </c>
      <c r="EP7" s="2" t="str">
        <f>IF(EP$4="","",MINDS!EP$80)</f>
        <v/>
      </c>
      <c r="EQ7" s="2" t="str">
        <f>IF(EQ$4="","",MINDS!EQ$80)</f>
        <v/>
      </c>
      <c r="ER7" s="2" t="str">
        <f>IF(ER$4="","",MINDS!ER$80)</f>
        <v/>
      </c>
      <c r="ES7" s="2" t="str">
        <f>IF(ES$4="","",MINDS!ES$80)</f>
        <v/>
      </c>
      <c r="ET7" s="2" t="str">
        <f>IF(ET$4="","",MINDS!ET$80)</f>
        <v/>
      </c>
      <c r="EU7" s="2" t="str">
        <f>IF(EU$4="","",MINDS!EU$80)</f>
        <v/>
      </c>
      <c r="EV7" s="2" t="str">
        <f>IF(EV$4="","",MINDS!EV$80)</f>
        <v/>
      </c>
      <c r="EW7" s="2" t="str">
        <f>IF(EW$4="","",MINDS!EW$80)</f>
        <v/>
      </c>
      <c r="EX7" s="2" t="str">
        <f>IF(EX$4="","",MINDS!EX$80)</f>
        <v/>
      </c>
      <c r="EY7" s="2" t="str">
        <f>IF(EY$4="","",MINDS!EY$80)</f>
        <v/>
      </c>
      <c r="EZ7" s="2" t="str">
        <f>IF(EZ$4="","",MINDS!EZ$80)</f>
        <v/>
      </c>
      <c r="FA7" s="2" t="str">
        <f>IF(FA$4="","",MINDS!FA$80)</f>
        <v/>
      </c>
      <c r="FB7" s="2" t="str">
        <f>IF(FB$4="","",MINDS!FB$80)</f>
        <v/>
      </c>
      <c r="FC7" s="2" t="str">
        <f>IF(FC$4="","",MINDS!FC$80)</f>
        <v/>
      </c>
      <c r="FD7" s="2" t="str">
        <f>IF(FD$4="","",MINDS!FD$80)</f>
        <v/>
      </c>
      <c r="FE7" s="2" t="str">
        <f>IF(FE$4="","",MINDS!FE$80)</f>
        <v/>
      </c>
      <c r="FF7" s="2" t="str">
        <f>IF(FF$4="","",MINDS!FF$80)</f>
        <v/>
      </c>
      <c r="FG7" s="2" t="str">
        <f>IF(FG$4="","",MINDS!FG$80)</f>
        <v/>
      </c>
      <c r="FH7" s="2" t="str">
        <f>IF(FH$4="","",MINDS!FH$80)</f>
        <v/>
      </c>
      <c r="FI7" s="2" t="str">
        <f>IF(FI$4="","",MINDS!FI$80)</f>
        <v/>
      </c>
      <c r="FJ7" s="2" t="str">
        <f>IF(FJ$4="","",MINDS!FJ$80)</f>
        <v/>
      </c>
      <c r="FK7" s="2" t="str">
        <f>IF(FK$4="","",MINDS!FK$80)</f>
        <v/>
      </c>
      <c r="FL7" s="2" t="str">
        <f>IF(FL$4="","",MINDS!FL$80)</f>
        <v/>
      </c>
      <c r="FM7" s="2" t="str">
        <f>IF(FM$4="","",MINDS!FM$80)</f>
        <v/>
      </c>
      <c r="FN7" s="2" t="str">
        <f>IF(FN$4="","",MINDS!FN$80)</f>
        <v/>
      </c>
      <c r="FO7" s="2" t="str">
        <f>IF(FO$4="","",MINDS!FO$80)</f>
        <v/>
      </c>
      <c r="FP7" s="2" t="str">
        <f>IF(FP$4="","",MINDS!FP$80)</f>
        <v/>
      </c>
      <c r="FQ7" s="2" t="str">
        <f>IF(FQ$4="","",MINDS!FQ$80)</f>
        <v/>
      </c>
      <c r="FR7" s="2" t="str">
        <f>IF(FR$4="","",MINDS!FR$80)</f>
        <v/>
      </c>
      <c r="FS7" s="2" t="str">
        <f>IF(FS$4="","",MINDS!FS$80)</f>
        <v/>
      </c>
      <c r="FT7" s="2" t="str">
        <f>IF(FT$4="","",MINDS!FT$80)</f>
        <v/>
      </c>
      <c r="FU7" s="2" t="str">
        <f>IF(FU$4="","",MINDS!FU$80)</f>
        <v/>
      </c>
      <c r="FV7" s="2" t="str">
        <f>IF(FV$4="","",MINDS!FV$80)</f>
        <v/>
      </c>
      <c r="FW7" s="2" t="str">
        <f>IF(FW$4="","",MINDS!FW$80)</f>
        <v/>
      </c>
      <c r="FX7" s="2" t="str">
        <f>IF(FX$4="","",MINDS!FX$80)</f>
        <v/>
      </c>
      <c r="FY7" s="2" t="str">
        <f>IF(FY$4="","",MINDS!FY$80)</f>
        <v/>
      </c>
      <c r="FZ7" s="2" t="str">
        <f>IF(FZ$4="","",MINDS!FZ$80)</f>
        <v/>
      </c>
      <c r="GA7" s="2" t="str">
        <f>IF(GA$4="","",MINDS!GA$80)</f>
        <v/>
      </c>
      <c r="GB7" s="2" t="str">
        <f>IF(GB$4="","",MINDS!GB$80)</f>
        <v/>
      </c>
      <c r="GC7" s="2" t="str">
        <f>IF(GC$4="","",MINDS!GC$80)</f>
        <v/>
      </c>
      <c r="GD7" s="2" t="str">
        <f>IF(GD$4="","",MINDS!GD$80)</f>
        <v/>
      </c>
      <c r="GE7" s="2" t="str">
        <f>IF(GE$4="","",MINDS!GE$80)</f>
        <v/>
      </c>
      <c r="GF7" s="2" t="str">
        <f>IF(GF$4="","",MINDS!GF$80)</f>
        <v/>
      </c>
      <c r="GG7" s="2" t="str">
        <f>IF(GG$4="","",MINDS!GG$80)</f>
        <v/>
      </c>
      <c r="GH7" s="2" t="str">
        <f>IF(GH$4="","",MINDS!GH$80)</f>
        <v/>
      </c>
      <c r="GI7" s="2" t="str">
        <f>IF(GI$4="","",MINDS!GI$80)</f>
        <v/>
      </c>
      <c r="GJ7" s="2" t="str">
        <f>IF(GJ$4="","",MINDS!GJ$80)</f>
        <v/>
      </c>
      <c r="GK7" s="2" t="str">
        <f>IF(GK$4="","",MINDS!GK$80)</f>
        <v/>
      </c>
      <c r="GL7" s="2" t="str">
        <f>IF(GL$4="","",MINDS!GL$80)</f>
        <v/>
      </c>
      <c r="GM7" s="2" t="str">
        <f>IF(GM$4="","",MINDS!GM$80)</f>
        <v/>
      </c>
      <c r="GN7" s="2" t="str">
        <f>IF(GN$4="","",MINDS!GN$80)</f>
        <v/>
      </c>
      <c r="GO7" s="2" t="str">
        <f>IF(GO$4="","",MINDS!GO$80)</f>
        <v/>
      </c>
      <c r="GP7" s="2" t="str">
        <f>IF(GP$4="","",MINDS!GP$80)</f>
        <v/>
      </c>
      <c r="GQ7" s="2" t="str">
        <f>IF(GQ$4="","",MINDS!GQ$80)</f>
        <v/>
      </c>
      <c r="GR7" s="2" t="str">
        <f>IF(GR$4="","",MINDS!GR$80)</f>
        <v/>
      </c>
      <c r="GS7" s="2" t="str">
        <f>IF(GS$4="","",MINDS!GS$80)</f>
        <v/>
      </c>
      <c r="GT7" s="2" t="str">
        <f>IF(GT$4="","",MINDS!GT$80)</f>
        <v/>
      </c>
      <c r="GU7" s="2" t="str">
        <f>IF(GU$4="","",MINDS!GU$80)</f>
        <v/>
      </c>
      <c r="GV7" s="2" t="str">
        <f>IF(GV$4="","",MINDS!GV$80)</f>
        <v/>
      </c>
      <c r="GW7" s="2" t="str">
        <f>IF(GW$4="","",MINDS!GW$80)</f>
        <v/>
      </c>
      <c r="GX7" s="2" t="str">
        <f>IF(GX$4="","",MINDS!GX$80)</f>
        <v/>
      </c>
      <c r="GY7" s="2" t="str">
        <f>IF(GY$4="","",MINDS!GY$80)</f>
        <v/>
      </c>
      <c r="GZ7" s="2" t="str">
        <f>IF(GZ$4="","",MINDS!GZ$80)</f>
        <v/>
      </c>
      <c r="HA7" s="2" t="str">
        <f>IF(HA$4="","",MINDS!HA$80)</f>
        <v/>
      </c>
      <c r="HB7" s="2" t="str">
        <f>IF(HB$4="","",MINDS!HB$80)</f>
        <v/>
      </c>
      <c r="HC7" s="2" t="str">
        <f>IF(HC$4="","",MINDS!HC$80)</f>
        <v/>
      </c>
      <c r="HD7" s="2" t="str">
        <f>IF(HD$4="","",MINDS!HD$80)</f>
        <v/>
      </c>
      <c r="HE7" s="2" t="str">
        <f>IF(HE$4="","",MINDS!HE$80)</f>
        <v/>
      </c>
      <c r="HF7" s="2" t="str">
        <f>IF(HF$4="","",MINDS!HF$80)</f>
        <v/>
      </c>
      <c r="HG7" s="2" t="str">
        <f>IF(HG$4="","",MINDS!HG$80)</f>
        <v/>
      </c>
      <c r="HH7" s="2" t="str">
        <f>IF(HH$4="","",MINDS!HH$80)</f>
        <v/>
      </c>
      <c r="HI7" s="2" t="str">
        <f>IF(HI$4="","",MINDS!HI$80)</f>
        <v/>
      </c>
      <c r="HJ7" s="2" t="str">
        <f>IF(HJ$4="","",MINDS!HJ$80)</f>
        <v/>
      </c>
      <c r="HK7" s="2" t="str">
        <f>IF(HK$4="","",MINDS!HK$80)</f>
        <v/>
      </c>
      <c r="HL7" s="2" t="str">
        <f>IF(HL$4="","",MINDS!HL$80)</f>
        <v/>
      </c>
      <c r="HM7" s="2" t="str">
        <f>IF(HM$4="","",MINDS!HM$80)</f>
        <v/>
      </c>
      <c r="HN7" s="2" t="str">
        <f>IF(HN$4="","",MINDS!HN$80)</f>
        <v/>
      </c>
      <c r="HO7" s="2" t="str">
        <f>IF(HO$4="","",MINDS!HO$80)</f>
        <v/>
      </c>
      <c r="HP7" s="2" t="str">
        <f>IF(HP$4="","",MINDS!HP$80)</f>
        <v/>
      </c>
      <c r="HQ7" s="2" t="str">
        <f>IF(HQ$4="","",MINDS!HQ$80)</f>
        <v/>
      </c>
      <c r="HR7" s="2" t="str">
        <f>IF(HR$4="","",MINDS!HR$80)</f>
        <v/>
      </c>
      <c r="HS7" s="2" t="str">
        <f>IF(HS$4="","",MINDS!HS$80)</f>
        <v/>
      </c>
      <c r="HT7" s="2" t="str">
        <f>IF(HT$4="","",MINDS!HT$80)</f>
        <v/>
      </c>
      <c r="HU7" s="2" t="str">
        <f>IF(HU$4="","",MINDS!HU$80)</f>
        <v/>
      </c>
      <c r="HV7" s="2" t="str">
        <f>IF(HV$4="","",MINDS!HV$80)</f>
        <v/>
      </c>
      <c r="HW7" s="2" t="str">
        <f>IF(HW$4="","",MINDS!HW$80)</f>
        <v/>
      </c>
      <c r="HX7" s="2" t="str">
        <f>IF(HX$4="","",MINDS!HX$80)</f>
        <v/>
      </c>
      <c r="HY7" s="2" t="str">
        <f>IF(HY$4="","",MINDS!HY$80)</f>
        <v/>
      </c>
      <c r="HZ7" s="2" t="str">
        <f>IF(HZ$4="","",MINDS!HZ$80)</f>
        <v/>
      </c>
      <c r="IA7" s="2" t="str">
        <f>IF(IA$4="","",MINDS!IA$80)</f>
        <v/>
      </c>
      <c r="IB7" s="2" t="str">
        <f>IF(IB$4="","",MINDS!IB$80)</f>
        <v/>
      </c>
      <c r="IC7" s="2" t="str">
        <f>IF(IC$4="","",MINDS!IC$80)</f>
        <v/>
      </c>
      <c r="ID7" s="2" t="str">
        <f>IF(ID$4="","",MINDS!ID$80)</f>
        <v/>
      </c>
      <c r="IE7" s="2" t="str">
        <f>IF(IE$4="","",MINDS!IE$80)</f>
        <v/>
      </c>
      <c r="IF7" s="2" t="str">
        <f>IF(IF$4="","",MINDS!IF$80)</f>
        <v/>
      </c>
      <c r="IG7" s="2" t="str">
        <f>IF(IG$4="","",MINDS!IG$80)</f>
        <v/>
      </c>
      <c r="IH7" s="2" t="str">
        <f>IF(IH$4="","",MINDS!IH$80)</f>
        <v/>
      </c>
      <c r="II7" s="2" t="str">
        <f>IF(II$4="","",MINDS!II$80)</f>
        <v/>
      </c>
      <c r="IJ7" s="2" t="str">
        <f>IF(IJ$4="","",MINDS!IJ$80)</f>
        <v/>
      </c>
      <c r="IK7" s="2" t="str">
        <f>IF(IK$4="","",MINDS!IK$80)</f>
        <v/>
      </c>
      <c r="IL7" s="2" t="str">
        <f>IF(IL$4="","",MINDS!IL$80)</f>
        <v/>
      </c>
      <c r="IM7" s="2" t="str">
        <f>IF(IM$4="","",MINDS!IM$80)</f>
        <v/>
      </c>
      <c r="IN7" s="2" t="str">
        <f>IF(IN$4="","",MINDS!IN$80)</f>
        <v/>
      </c>
      <c r="IO7" s="2" t="str">
        <f>IF(IO$4="","",MINDS!IO$80)</f>
        <v/>
      </c>
      <c r="IP7" s="2" t="str">
        <f>IF(IP$4="","",MINDS!IP$80)</f>
        <v/>
      </c>
      <c r="IQ7" s="2" t="str">
        <f>IF(IQ$4="","",MINDS!IQ$80)</f>
        <v/>
      </c>
      <c r="IR7" s="2" t="str">
        <f>IF(IR$4="","",MINDS!IR$80)</f>
        <v/>
      </c>
      <c r="IS7" s="2" t="str">
        <f>IF(IS$4="","",MINDS!IS$80)</f>
        <v/>
      </c>
      <c r="IT7" s="2" t="str">
        <f>IF(IT$4="","",MINDS!IT$80)</f>
        <v/>
      </c>
      <c r="IU7" s="2" t="str">
        <f>IF(IU$4="","",MINDS!IU$80)</f>
        <v/>
      </c>
      <c r="IV7" s="2" t="str">
        <f>IF(IV$4="","",MINDS!IV$80)</f>
        <v/>
      </c>
    </row>
    <row r="8" spans="1:256" x14ac:dyDescent="0.2">
      <c r="A8" s="3" t="s">
        <v>25</v>
      </c>
      <c r="C8" s="2" t="str">
        <f>IF(C$4="","",MINDS!C$74)</f>
        <v/>
      </c>
      <c r="D8" s="2" t="str">
        <f>IF(D$4="","",MINDS!D$74)</f>
        <v/>
      </c>
      <c r="E8" s="2" t="str">
        <f>IF(E$4="","",MINDS!E$74)</f>
        <v/>
      </c>
      <c r="F8" s="2" t="str">
        <f>IF(F$4="","",MINDS!F$74)</f>
        <v/>
      </c>
      <c r="G8" s="2" t="str">
        <f>IF(G$4="","",MINDS!G$74)</f>
        <v/>
      </c>
      <c r="H8" s="2" t="str">
        <f>IF(H$4="","",MINDS!H$74)</f>
        <v/>
      </c>
      <c r="I8" s="2" t="str">
        <f>IF(I$4="","",MINDS!I$74)</f>
        <v/>
      </c>
      <c r="J8" s="2" t="str">
        <f>IF(J$4="","",MINDS!J$74)</f>
        <v/>
      </c>
      <c r="K8" s="2" t="str">
        <f>IF(K$4="","",MINDS!K$74)</f>
        <v/>
      </c>
      <c r="L8" s="2" t="str">
        <f>IF(L$4="","",MINDS!L$74)</f>
        <v/>
      </c>
      <c r="M8" s="2" t="str">
        <f>IF(M$4="","",MINDS!M$74)</f>
        <v/>
      </c>
      <c r="N8" s="2" t="str">
        <f>IF(N$4="","",MINDS!N$74)</f>
        <v/>
      </c>
      <c r="O8" s="2" t="str">
        <f>IF(O$4="","",MINDS!O$74)</f>
        <v/>
      </c>
      <c r="P8" s="2" t="str">
        <f>IF(P$4="","",MINDS!P$74)</f>
        <v/>
      </c>
      <c r="Q8" s="2" t="str">
        <f>IF(Q$4="","",MINDS!Q$74)</f>
        <v/>
      </c>
      <c r="R8" s="2" t="str">
        <f>IF(R$4="","",MINDS!R$74)</f>
        <v/>
      </c>
      <c r="S8" s="2" t="str">
        <f>IF(S$4="","",MINDS!S$74)</f>
        <v/>
      </c>
      <c r="T8" s="2" t="str">
        <f>IF(T$4="","",MINDS!T$74)</f>
        <v/>
      </c>
      <c r="U8" s="2" t="str">
        <f>IF(U$4="","",MINDS!U$74)</f>
        <v/>
      </c>
      <c r="V8" s="2" t="str">
        <f>IF(V$4="","",MINDS!V$74)</f>
        <v/>
      </c>
      <c r="W8" s="2" t="str">
        <f>IF(W$4="","",MINDS!W$74)</f>
        <v/>
      </c>
      <c r="X8" s="2" t="str">
        <f>IF(X$4="","",MINDS!X$74)</f>
        <v/>
      </c>
      <c r="Y8" s="2" t="str">
        <f>IF(Y$4="","",MINDS!Y$74)</f>
        <v/>
      </c>
      <c r="Z8" s="2" t="str">
        <f>IF(Z$4="","",MINDS!Z$74)</f>
        <v/>
      </c>
      <c r="AA8" s="2" t="str">
        <f>IF(AA$4="","",MINDS!AA$74)</f>
        <v/>
      </c>
      <c r="AB8" s="2" t="str">
        <f>IF(AB$4="","",MINDS!AB$74)</f>
        <v/>
      </c>
      <c r="AC8" s="2" t="str">
        <f>IF(AC$4="","",MINDS!AC$74)</f>
        <v/>
      </c>
      <c r="AD8" s="2" t="str">
        <f>IF(AD$4="","",MINDS!AD$74)</f>
        <v/>
      </c>
      <c r="AE8" s="2" t="str">
        <f>IF(AE$4="","",MINDS!AE$74)</f>
        <v/>
      </c>
      <c r="AF8" s="2" t="str">
        <f>IF(AF$4="","",MINDS!AF$74)</f>
        <v/>
      </c>
      <c r="AG8" s="2" t="str">
        <f>IF(AG$4="","",MINDS!AG$74)</f>
        <v/>
      </c>
      <c r="AH8" s="2" t="str">
        <f>IF(AH$4="","",MINDS!AH$74)</f>
        <v/>
      </c>
      <c r="AI8" s="2" t="str">
        <f>IF(AI$4="","",MINDS!AI$74)</f>
        <v/>
      </c>
      <c r="AJ8" s="2" t="str">
        <f>IF(AJ$4="","",MINDS!AJ$74)</f>
        <v/>
      </c>
      <c r="AK8" s="2" t="str">
        <f>IF(AK$4="","",MINDS!AK$74)</f>
        <v/>
      </c>
      <c r="AL8" s="2" t="str">
        <f>IF(AL$4="","",MINDS!AL$74)</f>
        <v/>
      </c>
      <c r="AM8" s="2" t="str">
        <f>IF(AM$4="","",MINDS!AM$74)</f>
        <v/>
      </c>
      <c r="AN8" s="2" t="str">
        <f>IF(AN$4="","",MINDS!AN$74)</f>
        <v/>
      </c>
      <c r="AO8" s="2" t="str">
        <f>IF(AO$4="","",MINDS!AO$74)</f>
        <v/>
      </c>
      <c r="AP8" s="2" t="str">
        <f>IF(AP$4="","",MINDS!AP$74)</f>
        <v/>
      </c>
      <c r="AQ8" s="2" t="str">
        <f>IF(AQ$4="","",MINDS!AQ$74)</f>
        <v/>
      </c>
      <c r="AR8" s="2" t="str">
        <f>IF(AR$4="","",MINDS!AR$74)</f>
        <v/>
      </c>
      <c r="AS8" s="2" t="str">
        <f>IF(AS$4="","",MINDS!AS$74)</f>
        <v/>
      </c>
      <c r="AT8" s="2" t="str">
        <f>IF(AT$4="","",MINDS!AT$74)</f>
        <v/>
      </c>
      <c r="AU8" s="2" t="str">
        <f>IF(AU$4="","",MINDS!AU$74)</f>
        <v/>
      </c>
      <c r="AV8" s="2" t="str">
        <f>IF(AV$4="","",MINDS!AV$74)</f>
        <v/>
      </c>
      <c r="AW8" s="2" t="str">
        <f>IF(AW$4="","",MINDS!AW$74)</f>
        <v/>
      </c>
      <c r="AX8" s="2" t="str">
        <f>IF(AX$4="","",MINDS!AX$74)</f>
        <v/>
      </c>
      <c r="AY8" s="2" t="str">
        <f>IF(AY$4="","",MINDS!AY$74)</f>
        <v/>
      </c>
      <c r="AZ8" s="2" t="str">
        <f>IF(AZ$4="","",MINDS!AZ$74)</f>
        <v/>
      </c>
      <c r="BA8" s="2" t="str">
        <f>IF(BA$4="","",MINDS!BA$74)</f>
        <v/>
      </c>
      <c r="BB8" s="2" t="str">
        <f>IF(BB$4="","",MINDS!BB$74)</f>
        <v/>
      </c>
      <c r="BC8" s="2" t="str">
        <f>IF(BC$4="","",MINDS!BC$74)</f>
        <v/>
      </c>
      <c r="BD8" s="2" t="str">
        <f>IF(BD$4="","",MINDS!BD$74)</f>
        <v/>
      </c>
      <c r="BE8" s="2" t="str">
        <f>IF(BE$4="","",MINDS!BE$74)</f>
        <v/>
      </c>
      <c r="BF8" s="2" t="str">
        <f>IF(BF$4="","",MINDS!BF$74)</f>
        <v/>
      </c>
      <c r="BG8" s="2" t="str">
        <f>IF(BG$4="","",MINDS!BG$74)</f>
        <v/>
      </c>
      <c r="BH8" s="2" t="str">
        <f>IF(BH$4="","",MINDS!BH$74)</f>
        <v/>
      </c>
      <c r="BI8" s="2" t="str">
        <f>IF(BI$4="","",MINDS!BI$74)</f>
        <v/>
      </c>
      <c r="BJ8" s="2" t="str">
        <f>IF(BJ$4="","",MINDS!BJ$74)</f>
        <v/>
      </c>
      <c r="BK8" s="2" t="str">
        <f>IF(BK$4="","",MINDS!BK$74)</f>
        <v/>
      </c>
      <c r="BL8" s="2" t="str">
        <f>IF(BL$4="","",MINDS!BL$74)</f>
        <v/>
      </c>
      <c r="BM8" s="2" t="str">
        <f>IF(BM$4="","",MINDS!BM$74)</f>
        <v/>
      </c>
      <c r="BN8" s="2" t="str">
        <f>IF(BN$4="","",MINDS!BN$74)</f>
        <v/>
      </c>
      <c r="BO8" s="2" t="str">
        <f>IF(BO$4="","",MINDS!BO$74)</f>
        <v/>
      </c>
      <c r="BP8" s="2" t="str">
        <f>IF(BP$4="","",MINDS!BP$74)</f>
        <v/>
      </c>
      <c r="BQ8" s="2" t="str">
        <f>IF(BQ$4="","",MINDS!BQ$74)</f>
        <v/>
      </c>
      <c r="BR8" s="2" t="str">
        <f>IF(BR$4="","",MINDS!BR$74)</f>
        <v/>
      </c>
      <c r="BS8" s="2" t="str">
        <f>IF(BS$4="","",MINDS!BS$74)</f>
        <v/>
      </c>
      <c r="BT8" s="2" t="str">
        <f>IF(BT$4="","",MINDS!BT$74)</f>
        <v/>
      </c>
      <c r="BU8" s="2" t="str">
        <f>IF(BU$4="","",MINDS!BU$74)</f>
        <v/>
      </c>
      <c r="BV8" s="2" t="str">
        <f>IF(BV$4="","",MINDS!BV$74)</f>
        <v/>
      </c>
      <c r="BW8" s="2" t="str">
        <f>IF(BW$4="","",MINDS!BW$74)</f>
        <v/>
      </c>
      <c r="BX8" s="2" t="str">
        <f>IF(BX$4="","",MINDS!BX$74)</f>
        <v/>
      </c>
      <c r="BY8" s="2" t="str">
        <f>IF(BY$4="","",MINDS!BY$74)</f>
        <v/>
      </c>
      <c r="BZ8" s="2" t="str">
        <f>IF(BZ$4="","",MINDS!BZ$74)</f>
        <v/>
      </c>
      <c r="CA8" s="2" t="str">
        <f>IF(CA$4="","",MINDS!CA$74)</f>
        <v/>
      </c>
      <c r="CB8" s="2" t="str">
        <f>IF(CB$4="","",MINDS!CB$74)</f>
        <v/>
      </c>
      <c r="CC8" s="2" t="str">
        <f>IF(CC$4="","",MINDS!CC$74)</f>
        <v/>
      </c>
      <c r="CD8" s="2" t="str">
        <f>IF(CD$4="","",MINDS!CD$74)</f>
        <v/>
      </c>
      <c r="CE8" s="2" t="str">
        <f>IF(CE$4="","",MINDS!CE$74)</f>
        <v/>
      </c>
      <c r="CF8" s="2" t="str">
        <f>IF(CF$4="","",MINDS!CF$74)</f>
        <v/>
      </c>
      <c r="CG8" s="2" t="str">
        <f>IF(CG$4="","",MINDS!CG$74)</f>
        <v/>
      </c>
      <c r="CH8" s="2" t="str">
        <f>IF(CH$4="","",MINDS!CH$74)</f>
        <v/>
      </c>
      <c r="CI8" s="2" t="str">
        <f>IF(CI$4="","",MINDS!CI$74)</f>
        <v/>
      </c>
      <c r="CJ8" s="2" t="str">
        <f>IF(CJ$4="","",MINDS!CJ$74)</f>
        <v/>
      </c>
      <c r="CK8" s="2" t="str">
        <f>IF(CK$4="","",MINDS!CK$74)</f>
        <v/>
      </c>
      <c r="CL8" s="2" t="str">
        <f>IF(CL$4="","",MINDS!CL$74)</f>
        <v/>
      </c>
      <c r="CM8" s="2" t="str">
        <f>IF(CM$4="","",MINDS!CM$74)</f>
        <v/>
      </c>
      <c r="CN8" s="2" t="str">
        <f>IF(CN$4="","",MINDS!CN$74)</f>
        <v/>
      </c>
      <c r="CO8" s="2" t="str">
        <f>IF(CO$4="","",MINDS!CO$74)</f>
        <v/>
      </c>
      <c r="CP8" s="2" t="str">
        <f>IF(CP$4="","",MINDS!CP$74)</f>
        <v/>
      </c>
      <c r="CQ8" s="2" t="str">
        <f>IF(CQ$4="","",MINDS!CQ$74)</f>
        <v/>
      </c>
      <c r="CR8" s="2" t="str">
        <f>IF(CR$4="","",MINDS!CR$74)</f>
        <v/>
      </c>
      <c r="CS8" s="2" t="str">
        <f>IF(CS$4="","",MINDS!CS$74)</f>
        <v/>
      </c>
      <c r="CT8" s="2" t="str">
        <f>IF(CT$4="","",MINDS!CT$74)</f>
        <v/>
      </c>
      <c r="CU8" s="2" t="str">
        <f>IF(CU$4="","",MINDS!CU$74)</f>
        <v/>
      </c>
      <c r="CV8" s="2" t="str">
        <f>IF(CV$4="","",MINDS!CV$74)</f>
        <v/>
      </c>
      <c r="CW8" s="2" t="str">
        <f>IF(CW$4="","",MINDS!CW$74)</f>
        <v/>
      </c>
      <c r="CX8" s="2" t="str">
        <f>IF(CX$4="","",MINDS!CX$74)</f>
        <v/>
      </c>
      <c r="CY8" s="2" t="str">
        <f>IF(CY$4="","",MINDS!CY$74)</f>
        <v/>
      </c>
      <c r="CZ8" s="2" t="str">
        <f>IF(CZ$4="","",MINDS!CZ$74)</f>
        <v/>
      </c>
      <c r="DA8" s="2" t="str">
        <f>IF(DA$4="","",MINDS!DA$74)</f>
        <v/>
      </c>
      <c r="DB8" s="2" t="str">
        <f>IF(DB$4="","",MINDS!DB$74)</f>
        <v/>
      </c>
      <c r="DC8" s="2" t="str">
        <f>IF(DC$4="","",MINDS!DC$74)</f>
        <v/>
      </c>
      <c r="DD8" s="2" t="str">
        <f>IF(DD$4="","",MINDS!DD$74)</f>
        <v/>
      </c>
      <c r="DE8" s="2" t="str">
        <f>IF(DE$4="","",MINDS!DE$74)</f>
        <v/>
      </c>
      <c r="DF8" s="2" t="str">
        <f>IF(DF$4="","",MINDS!DF$74)</f>
        <v/>
      </c>
      <c r="DG8" s="2" t="str">
        <f>IF(DG$4="","",MINDS!DG$74)</f>
        <v/>
      </c>
      <c r="DH8" s="2" t="str">
        <f>IF(DH$4="","",MINDS!DH$74)</f>
        <v/>
      </c>
      <c r="DI8" s="2" t="str">
        <f>IF(DI$4="","",MINDS!DI$74)</f>
        <v/>
      </c>
      <c r="DJ8" s="2" t="str">
        <f>IF(DJ$4="","",MINDS!DJ$74)</f>
        <v/>
      </c>
      <c r="DK8" s="2" t="str">
        <f>IF(DK$4="","",MINDS!DK$74)</f>
        <v/>
      </c>
      <c r="DL8" s="2" t="str">
        <f>IF(DL$4="","",MINDS!DL$74)</f>
        <v/>
      </c>
      <c r="DM8" s="2" t="str">
        <f>IF(DM$4="","",MINDS!DM$74)</f>
        <v/>
      </c>
      <c r="DN8" s="2" t="str">
        <f>IF(DN$4="","",MINDS!DN$74)</f>
        <v/>
      </c>
      <c r="DO8" s="2" t="str">
        <f>IF(DO$4="","",MINDS!DO$74)</f>
        <v/>
      </c>
      <c r="DP8" s="2" t="str">
        <f>IF(DP$4="","",MINDS!DP$74)</f>
        <v/>
      </c>
      <c r="DQ8" s="2" t="str">
        <f>IF(DQ$4="","",MINDS!DQ$74)</f>
        <v/>
      </c>
      <c r="DR8" s="2" t="str">
        <f>IF(DR$4="","",MINDS!DR$74)</f>
        <v/>
      </c>
      <c r="DS8" s="2" t="str">
        <f>IF(DS$4="","",MINDS!DS$74)</f>
        <v/>
      </c>
      <c r="DT8" s="2" t="str">
        <f>IF(DT$4="","",MINDS!DT$74)</f>
        <v/>
      </c>
      <c r="DU8" s="2" t="str">
        <f>IF(DU$4="","",MINDS!DU$74)</f>
        <v/>
      </c>
      <c r="DV8" s="2" t="str">
        <f>IF(DV$4="","",MINDS!DV$74)</f>
        <v/>
      </c>
      <c r="DW8" s="2" t="str">
        <f>IF(DW$4="","",MINDS!DW$74)</f>
        <v/>
      </c>
      <c r="DX8" s="2" t="str">
        <f>IF(DX$4="","",MINDS!DX$74)</f>
        <v/>
      </c>
      <c r="DY8" s="2" t="str">
        <f>IF(DY$4="","",MINDS!DY$74)</f>
        <v/>
      </c>
      <c r="DZ8" s="2" t="str">
        <f>IF(DZ$4="","",MINDS!DZ$74)</f>
        <v/>
      </c>
      <c r="EA8" s="2" t="str">
        <f>IF(EA$4="","",MINDS!EA$74)</f>
        <v/>
      </c>
      <c r="EB8" s="2" t="str">
        <f>IF(EB$4="","",MINDS!EB$74)</f>
        <v/>
      </c>
      <c r="EC8" s="2" t="str">
        <f>IF(EC$4="","",MINDS!EC$74)</f>
        <v/>
      </c>
      <c r="ED8" s="2" t="str">
        <f>IF(ED$4="","",MINDS!ED$74)</f>
        <v/>
      </c>
      <c r="EE8" s="2" t="str">
        <f>IF(EE$4="","",MINDS!EE$74)</f>
        <v/>
      </c>
      <c r="EF8" s="2" t="str">
        <f>IF(EF$4="","",MINDS!EF$74)</f>
        <v/>
      </c>
      <c r="EG8" s="2" t="str">
        <f>IF(EG$4="","",MINDS!EG$74)</f>
        <v/>
      </c>
      <c r="EH8" s="2" t="str">
        <f>IF(EH$4="","",MINDS!EH$74)</f>
        <v/>
      </c>
      <c r="EI8" s="2" t="str">
        <f>IF(EI$4="","",MINDS!EI$74)</f>
        <v/>
      </c>
      <c r="EJ8" s="2" t="str">
        <f>IF(EJ$4="","",MINDS!EJ$74)</f>
        <v/>
      </c>
      <c r="EK8" s="2" t="str">
        <f>IF(EK$4="","",MINDS!EK$74)</f>
        <v/>
      </c>
      <c r="EL8" s="2" t="str">
        <f>IF(EL$4="","",MINDS!EL$74)</f>
        <v/>
      </c>
      <c r="EM8" s="2" t="str">
        <f>IF(EM$4="","",MINDS!EM$74)</f>
        <v/>
      </c>
      <c r="EN8" s="2" t="str">
        <f>IF(EN$4="","",MINDS!EN$74)</f>
        <v/>
      </c>
      <c r="EO8" s="2" t="str">
        <f>IF(EO$4="","",MINDS!EO$74)</f>
        <v/>
      </c>
      <c r="EP8" s="2" t="str">
        <f>IF(EP$4="","",MINDS!EP$74)</f>
        <v/>
      </c>
      <c r="EQ8" s="2" t="str">
        <f>IF(EQ$4="","",MINDS!EQ$74)</f>
        <v/>
      </c>
      <c r="ER8" s="2" t="str">
        <f>IF(ER$4="","",MINDS!ER$74)</f>
        <v/>
      </c>
      <c r="ES8" s="2" t="str">
        <f>IF(ES$4="","",MINDS!ES$74)</f>
        <v/>
      </c>
      <c r="ET8" s="2" t="str">
        <f>IF(ET$4="","",MINDS!ET$74)</f>
        <v/>
      </c>
      <c r="EU8" s="2" t="str">
        <f>IF(EU$4="","",MINDS!EU$74)</f>
        <v/>
      </c>
      <c r="EV8" s="2" t="str">
        <f>IF(EV$4="","",MINDS!EV$74)</f>
        <v/>
      </c>
      <c r="EW8" s="2" t="str">
        <f>IF(EW$4="","",MINDS!EW$74)</f>
        <v/>
      </c>
      <c r="EX8" s="2" t="str">
        <f>IF(EX$4="","",MINDS!EX$74)</f>
        <v/>
      </c>
      <c r="EY8" s="2" t="str">
        <f>IF(EY$4="","",MINDS!EY$74)</f>
        <v/>
      </c>
      <c r="EZ8" s="2" t="str">
        <f>IF(EZ$4="","",MINDS!EZ$74)</f>
        <v/>
      </c>
      <c r="FA8" s="2" t="str">
        <f>IF(FA$4="","",MINDS!FA$74)</f>
        <v/>
      </c>
      <c r="FB8" s="2" t="str">
        <f>IF(FB$4="","",MINDS!FB$74)</f>
        <v/>
      </c>
      <c r="FC8" s="2" t="str">
        <f>IF(FC$4="","",MINDS!FC$74)</f>
        <v/>
      </c>
      <c r="FD8" s="2" t="str">
        <f>IF(FD$4="","",MINDS!FD$74)</f>
        <v/>
      </c>
      <c r="FE8" s="2" t="str">
        <f>IF(FE$4="","",MINDS!FE$74)</f>
        <v/>
      </c>
      <c r="FF8" s="2" t="str">
        <f>IF(FF$4="","",MINDS!FF$74)</f>
        <v/>
      </c>
      <c r="FG8" s="2" t="str">
        <f>IF(FG$4="","",MINDS!FG$74)</f>
        <v/>
      </c>
      <c r="FH8" s="2" t="str">
        <f>IF(FH$4="","",MINDS!FH$74)</f>
        <v/>
      </c>
      <c r="FI8" s="2" t="str">
        <f>IF(FI$4="","",MINDS!FI$74)</f>
        <v/>
      </c>
      <c r="FJ8" s="2" t="str">
        <f>IF(FJ$4="","",MINDS!FJ$74)</f>
        <v/>
      </c>
      <c r="FK8" s="2" t="str">
        <f>IF(FK$4="","",MINDS!FK$74)</f>
        <v/>
      </c>
      <c r="FL8" s="2" t="str">
        <f>IF(FL$4="","",MINDS!FL$74)</f>
        <v/>
      </c>
      <c r="FM8" s="2" t="str">
        <f>IF(FM$4="","",MINDS!FM$74)</f>
        <v/>
      </c>
      <c r="FN8" s="2" t="str">
        <f>IF(FN$4="","",MINDS!FN$74)</f>
        <v/>
      </c>
      <c r="FO8" s="2" t="str">
        <f>IF(FO$4="","",MINDS!FO$74)</f>
        <v/>
      </c>
      <c r="FP8" s="2" t="str">
        <f>IF(FP$4="","",MINDS!FP$74)</f>
        <v/>
      </c>
      <c r="FQ8" s="2" t="str">
        <f>IF(FQ$4="","",MINDS!FQ$74)</f>
        <v/>
      </c>
      <c r="FR8" s="2" t="str">
        <f>IF(FR$4="","",MINDS!FR$74)</f>
        <v/>
      </c>
      <c r="FS8" s="2" t="str">
        <f>IF(FS$4="","",MINDS!FS$74)</f>
        <v/>
      </c>
      <c r="FT8" s="2" t="str">
        <f>IF(FT$4="","",MINDS!FT$74)</f>
        <v/>
      </c>
      <c r="FU8" s="2" t="str">
        <f>IF(FU$4="","",MINDS!FU$74)</f>
        <v/>
      </c>
      <c r="FV8" s="2" t="str">
        <f>IF(FV$4="","",MINDS!FV$74)</f>
        <v/>
      </c>
      <c r="FW8" s="2" t="str">
        <f>IF(FW$4="","",MINDS!FW$74)</f>
        <v/>
      </c>
      <c r="FX8" s="2" t="str">
        <f>IF(FX$4="","",MINDS!FX$74)</f>
        <v/>
      </c>
      <c r="FY8" s="2" t="str">
        <f>IF(FY$4="","",MINDS!FY$74)</f>
        <v/>
      </c>
      <c r="FZ8" s="2" t="str">
        <f>IF(FZ$4="","",MINDS!FZ$74)</f>
        <v/>
      </c>
      <c r="GA8" s="2" t="str">
        <f>IF(GA$4="","",MINDS!GA$74)</f>
        <v/>
      </c>
      <c r="GB8" s="2" t="str">
        <f>IF(GB$4="","",MINDS!GB$74)</f>
        <v/>
      </c>
      <c r="GC8" s="2" t="str">
        <f>IF(GC$4="","",MINDS!GC$74)</f>
        <v/>
      </c>
      <c r="GD8" s="2" t="str">
        <f>IF(GD$4="","",MINDS!GD$74)</f>
        <v/>
      </c>
      <c r="GE8" s="2" t="str">
        <f>IF(GE$4="","",MINDS!GE$74)</f>
        <v/>
      </c>
      <c r="GF8" s="2" t="str">
        <f>IF(GF$4="","",MINDS!GF$74)</f>
        <v/>
      </c>
      <c r="GG8" s="2" t="str">
        <f>IF(GG$4="","",MINDS!GG$74)</f>
        <v/>
      </c>
      <c r="GH8" s="2" t="str">
        <f>IF(GH$4="","",MINDS!GH$74)</f>
        <v/>
      </c>
      <c r="GI8" s="2" t="str">
        <f>IF(GI$4="","",MINDS!GI$74)</f>
        <v/>
      </c>
      <c r="GJ8" s="2" t="str">
        <f>IF(GJ$4="","",MINDS!GJ$74)</f>
        <v/>
      </c>
      <c r="GK8" s="2" t="str">
        <f>IF(GK$4="","",MINDS!GK$74)</f>
        <v/>
      </c>
      <c r="GL8" s="2" t="str">
        <f>IF(GL$4="","",MINDS!GL$74)</f>
        <v/>
      </c>
      <c r="GM8" s="2" t="str">
        <f>IF(GM$4="","",MINDS!GM$74)</f>
        <v/>
      </c>
      <c r="GN8" s="2" t="str">
        <f>IF(GN$4="","",MINDS!GN$74)</f>
        <v/>
      </c>
      <c r="GO8" s="2" t="str">
        <f>IF(GO$4="","",MINDS!GO$74)</f>
        <v/>
      </c>
      <c r="GP8" s="2" t="str">
        <f>IF(GP$4="","",MINDS!GP$74)</f>
        <v/>
      </c>
      <c r="GQ8" s="2" t="str">
        <f>IF(GQ$4="","",MINDS!GQ$74)</f>
        <v/>
      </c>
      <c r="GR8" s="2" t="str">
        <f>IF(GR$4="","",MINDS!GR$74)</f>
        <v/>
      </c>
      <c r="GS8" s="2" t="str">
        <f>IF(GS$4="","",MINDS!GS$74)</f>
        <v/>
      </c>
      <c r="GT8" s="2" t="str">
        <f>IF(GT$4="","",MINDS!GT$74)</f>
        <v/>
      </c>
      <c r="GU8" s="2" t="str">
        <f>IF(GU$4="","",MINDS!GU$74)</f>
        <v/>
      </c>
      <c r="GV8" s="2" t="str">
        <f>IF(GV$4="","",MINDS!GV$74)</f>
        <v/>
      </c>
      <c r="GW8" s="2" t="str">
        <f>IF(GW$4="","",MINDS!GW$74)</f>
        <v/>
      </c>
      <c r="GX8" s="2" t="str">
        <f>IF(GX$4="","",MINDS!GX$74)</f>
        <v/>
      </c>
      <c r="GY8" s="2" t="str">
        <f>IF(GY$4="","",MINDS!GY$74)</f>
        <v/>
      </c>
      <c r="GZ8" s="2" t="str">
        <f>IF(GZ$4="","",MINDS!GZ$74)</f>
        <v/>
      </c>
      <c r="HA8" s="2" t="str">
        <f>IF(HA$4="","",MINDS!HA$74)</f>
        <v/>
      </c>
      <c r="HB8" s="2" t="str">
        <f>IF(HB$4="","",MINDS!HB$74)</f>
        <v/>
      </c>
      <c r="HC8" s="2" t="str">
        <f>IF(HC$4="","",MINDS!HC$74)</f>
        <v/>
      </c>
      <c r="HD8" s="2" t="str">
        <f>IF(HD$4="","",MINDS!HD$74)</f>
        <v/>
      </c>
      <c r="HE8" s="2" t="str">
        <f>IF(HE$4="","",MINDS!HE$74)</f>
        <v/>
      </c>
      <c r="HF8" s="2" t="str">
        <f>IF(HF$4="","",MINDS!HF$74)</f>
        <v/>
      </c>
      <c r="HG8" s="2" t="str">
        <f>IF(HG$4="","",MINDS!HG$74)</f>
        <v/>
      </c>
      <c r="HH8" s="2" t="str">
        <f>IF(HH$4="","",MINDS!HH$74)</f>
        <v/>
      </c>
      <c r="HI8" s="2" t="str">
        <f>IF(HI$4="","",MINDS!HI$74)</f>
        <v/>
      </c>
      <c r="HJ8" s="2" t="str">
        <f>IF(HJ$4="","",MINDS!HJ$74)</f>
        <v/>
      </c>
      <c r="HK8" s="2" t="str">
        <f>IF(HK$4="","",MINDS!HK$74)</f>
        <v/>
      </c>
      <c r="HL8" s="2" t="str">
        <f>IF(HL$4="","",MINDS!HL$74)</f>
        <v/>
      </c>
      <c r="HM8" s="2" t="str">
        <f>IF(HM$4="","",MINDS!HM$74)</f>
        <v/>
      </c>
      <c r="HN8" s="2" t="str">
        <f>IF(HN$4="","",MINDS!HN$74)</f>
        <v/>
      </c>
      <c r="HO8" s="2" t="str">
        <f>IF(HO$4="","",MINDS!HO$74)</f>
        <v/>
      </c>
      <c r="HP8" s="2" t="str">
        <f>IF(HP$4="","",MINDS!HP$74)</f>
        <v/>
      </c>
      <c r="HQ8" s="2" t="str">
        <f>IF(HQ$4="","",MINDS!HQ$74)</f>
        <v/>
      </c>
      <c r="HR8" s="2" t="str">
        <f>IF(HR$4="","",MINDS!HR$74)</f>
        <v/>
      </c>
      <c r="HS8" s="2" t="str">
        <f>IF(HS$4="","",MINDS!HS$74)</f>
        <v/>
      </c>
      <c r="HT8" s="2" t="str">
        <f>IF(HT$4="","",MINDS!HT$74)</f>
        <v/>
      </c>
      <c r="HU8" s="2" t="str">
        <f>IF(HU$4="","",MINDS!HU$74)</f>
        <v/>
      </c>
      <c r="HV8" s="2" t="str">
        <f>IF(HV$4="","",MINDS!HV$74)</f>
        <v/>
      </c>
      <c r="HW8" s="2" t="str">
        <f>IF(HW$4="","",MINDS!HW$74)</f>
        <v/>
      </c>
      <c r="HX8" s="2" t="str">
        <f>IF(HX$4="","",MINDS!HX$74)</f>
        <v/>
      </c>
      <c r="HY8" s="2" t="str">
        <f>IF(HY$4="","",MINDS!HY$74)</f>
        <v/>
      </c>
      <c r="HZ8" s="2" t="str">
        <f>IF(HZ$4="","",MINDS!HZ$74)</f>
        <v/>
      </c>
      <c r="IA8" s="2" t="str">
        <f>IF(IA$4="","",MINDS!IA$74)</f>
        <v/>
      </c>
      <c r="IB8" s="2" t="str">
        <f>IF(IB$4="","",MINDS!IB$74)</f>
        <v/>
      </c>
      <c r="IC8" s="2" t="str">
        <f>IF(IC$4="","",MINDS!IC$74)</f>
        <v/>
      </c>
      <c r="ID8" s="2" t="str">
        <f>IF(ID$4="","",MINDS!ID$74)</f>
        <v/>
      </c>
      <c r="IE8" s="2" t="str">
        <f>IF(IE$4="","",MINDS!IE$74)</f>
        <v/>
      </c>
      <c r="IF8" s="2" t="str">
        <f>IF(IF$4="","",MINDS!IF$74)</f>
        <v/>
      </c>
      <c r="IG8" s="2" t="str">
        <f>IF(IG$4="","",MINDS!IG$74)</f>
        <v/>
      </c>
      <c r="IH8" s="2" t="str">
        <f>IF(IH$4="","",MINDS!IH$74)</f>
        <v/>
      </c>
      <c r="II8" s="2" t="str">
        <f>IF(II$4="","",MINDS!II$74)</f>
        <v/>
      </c>
      <c r="IJ8" s="2" t="str">
        <f>IF(IJ$4="","",MINDS!IJ$74)</f>
        <v/>
      </c>
      <c r="IK8" s="2" t="str">
        <f>IF(IK$4="","",MINDS!IK$74)</f>
        <v/>
      </c>
      <c r="IL8" s="2" t="str">
        <f>IF(IL$4="","",MINDS!IL$74)</f>
        <v/>
      </c>
      <c r="IM8" s="2" t="str">
        <f>IF(IM$4="","",MINDS!IM$74)</f>
        <v/>
      </c>
      <c r="IN8" s="2" t="str">
        <f>IF(IN$4="","",MINDS!IN$74)</f>
        <v/>
      </c>
      <c r="IO8" s="2" t="str">
        <f>IF(IO$4="","",MINDS!IO$74)</f>
        <v/>
      </c>
      <c r="IP8" s="2" t="str">
        <f>IF(IP$4="","",MINDS!IP$74)</f>
        <v/>
      </c>
      <c r="IQ8" s="2" t="str">
        <f>IF(IQ$4="","",MINDS!IQ$74)</f>
        <v/>
      </c>
      <c r="IR8" s="2" t="str">
        <f>IF(IR$4="","",MINDS!IR$74)</f>
        <v/>
      </c>
      <c r="IS8" s="2" t="str">
        <f>IF(IS$4="","",MINDS!IS$74)</f>
        <v/>
      </c>
      <c r="IT8" s="2" t="str">
        <f>IF(IT$4="","",MINDS!IT$74)</f>
        <v/>
      </c>
      <c r="IU8" s="2" t="str">
        <f>IF(IU$4="","",MINDS!IU$74)</f>
        <v/>
      </c>
      <c r="IV8" s="2" t="str">
        <f>IF(IV$4="","",MINDS!IV$74)</f>
        <v/>
      </c>
    </row>
    <row r="9" spans="1:256" x14ac:dyDescent="0.2">
      <c r="A9" s="3" t="s">
        <v>26</v>
      </c>
      <c r="C9" s="2" t="str">
        <f>IF(ISNUMBER(MINDS!C$76),MINDS!C$76," "&amp;MINDS!C$76)</f>
        <v xml:space="preserve"> </v>
      </c>
      <c r="D9" s="2" t="str">
        <f>IF(ISNUMBER(MINDS!D$76),MINDS!D$76," "&amp;MINDS!D$76)</f>
        <v xml:space="preserve"> </v>
      </c>
      <c r="E9" s="2" t="str">
        <f>IF(ISNUMBER(MINDS!E$76),MINDS!E$76," "&amp;MINDS!E$76)</f>
        <v xml:space="preserve"> </v>
      </c>
      <c r="F9" s="2" t="str">
        <f>IF(ISNUMBER(MINDS!F$76),MINDS!F$76," "&amp;MINDS!F$76)</f>
        <v xml:space="preserve"> </v>
      </c>
      <c r="G9" s="2" t="str">
        <f>IF(ISNUMBER(MINDS!G$76),MINDS!G$76," "&amp;MINDS!G$76)</f>
        <v xml:space="preserve"> </v>
      </c>
      <c r="H9" s="2" t="str">
        <f>IF(ISNUMBER(MINDS!H$76),MINDS!H$76," "&amp;MINDS!H$76)</f>
        <v xml:space="preserve"> </v>
      </c>
      <c r="I9" s="2" t="str">
        <f>IF(ISNUMBER(MINDS!I$76),MINDS!I$76," "&amp;MINDS!I$76)</f>
        <v xml:space="preserve"> </v>
      </c>
      <c r="J9" s="2" t="str">
        <f>IF(ISNUMBER(MINDS!J$76),MINDS!J$76," "&amp;MINDS!J$76)</f>
        <v xml:space="preserve"> </v>
      </c>
      <c r="K9" s="2" t="str">
        <f>IF(ISNUMBER(MINDS!K$76),MINDS!K$76," "&amp;MINDS!K$76)</f>
        <v xml:space="preserve"> </v>
      </c>
      <c r="L9" s="2" t="str">
        <f>IF(ISNUMBER(MINDS!L$76),MINDS!L$76," "&amp;MINDS!L$76)</f>
        <v xml:space="preserve"> </v>
      </c>
      <c r="M9" s="2" t="str">
        <f>IF(ISNUMBER(MINDS!M$76),MINDS!M$76," "&amp;MINDS!M$76)</f>
        <v xml:space="preserve"> </v>
      </c>
      <c r="N9" s="2" t="str">
        <f>IF(ISNUMBER(MINDS!N$76),MINDS!N$76," "&amp;MINDS!N$76)</f>
        <v xml:space="preserve"> </v>
      </c>
      <c r="O9" s="2" t="str">
        <f>IF(ISNUMBER(MINDS!O$76),MINDS!O$76," "&amp;MINDS!O$76)</f>
        <v xml:space="preserve"> </v>
      </c>
      <c r="P9" s="2" t="str">
        <f>IF(ISNUMBER(MINDS!P$76),MINDS!P$76," "&amp;MINDS!P$76)</f>
        <v xml:space="preserve"> </v>
      </c>
      <c r="Q9" s="2" t="str">
        <f>IF(ISNUMBER(MINDS!Q$76),MINDS!Q$76," "&amp;MINDS!Q$76)</f>
        <v xml:space="preserve"> </v>
      </c>
      <c r="R9" s="2" t="str">
        <f>IF(ISNUMBER(MINDS!R$76),MINDS!R$76," "&amp;MINDS!R$76)</f>
        <v xml:space="preserve"> </v>
      </c>
      <c r="S9" s="2" t="str">
        <f>IF(ISNUMBER(MINDS!S$76),MINDS!S$76," "&amp;MINDS!S$76)</f>
        <v xml:space="preserve"> </v>
      </c>
      <c r="T9" s="2" t="str">
        <f>IF(ISNUMBER(MINDS!T$76),MINDS!T$76," "&amp;MINDS!T$76)</f>
        <v xml:space="preserve"> </v>
      </c>
      <c r="U9" s="2" t="str">
        <f>IF(ISNUMBER(MINDS!U$76),MINDS!U$76," "&amp;MINDS!U$76)</f>
        <v xml:space="preserve"> </v>
      </c>
      <c r="V9" s="2" t="str">
        <f>IF(ISNUMBER(MINDS!V$76),MINDS!V$76," "&amp;MINDS!V$76)</f>
        <v xml:space="preserve"> </v>
      </c>
      <c r="W9" s="2" t="str">
        <f>IF(ISNUMBER(MINDS!W$76),MINDS!W$76," "&amp;MINDS!W$76)</f>
        <v xml:space="preserve"> </v>
      </c>
      <c r="X9" s="2" t="str">
        <f>IF(ISNUMBER(MINDS!X$76),MINDS!X$76," "&amp;MINDS!X$76)</f>
        <v xml:space="preserve"> </v>
      </c>
      <c r="Y9" s="2" t="str">
        <f>IF(ISNUMBER(MINDS!Y$76),MINDS!Y$76," "&amp;MINDS!Y$76)</f>
        <v xml:space="preserve"> </v>
      </c>
      <c r="Z9" s="2" t="str">
        <f>IF(ISNUMBER(MINDS!Z$76),MINDS!Z$76," "&amp;MINDS!Z$76)</f>
        <v xml:space="preserve"> </v>
      </c>
      <c r="AA9" s="2" t="str">
        <f>IF(ISNUMBER(MINDS!AA$76),MINDS!AA$76," "&amp;MINDS!AA$76)</f>
        <v xml:space="preserve"> </v>
      </c>
      <c r="AB9" s="2" t="str">
        <f>IF(ISNUMBER(MINDS!AB$76),MINDS!AB$76," "&amp;MINDS!AB$76)</f>
        <v xml:space="preserve"> </v>
      </c>
      <c r="AC9" s="2" t="str">
        <f>IF(ISNUMBER(MINDS!AC$76),MINDS!AC$76," "&amp;MINDS!AC$76)</f>
        <v xml:space="preserve"> </v>
      </c>
      <c r="AD9" s="2" t="str">
        <f>IF(ISNUMBER(MINDS!AD$76),MINDS!AD$76," "&amp;MINDS!AD$76)</f>
        <v xml:space="preserve"> </v>
      </c>
      <c r="AE9" s="2" t="str">
        <f>IF(ISNUMBER(MINDS!AE$76),MINDS!AE$76," "&amp;MINDS!AE$76)</f>
        <v xml:space="preserve"> </v>
      </c>
      <c r="AF9" s="2" t="str">
        <f>IF(ISNUMBER(MINDS!AF$76),MINDS!AF$76," "&amp;MINDS!AF$76)</f>
        <v xml:space="preserve"> </v>
      </c>
      <c r="AG9" s="2" t="str">
        <f>IF(ISNUMBER(MINDS!AG$76),MINDS!AG$76," "&amp;MINDS!AG$76)</f>
        <v xml:space="preserve"> </v>
      </c>
      <c r="AH9" s="2" t="str">
        <f>IF(ISNUMBER(MINDS!AH$76),MINDS!AH$76," "&amp;MINDS!AH$76)</f>
        <v xml:space="preserve"> </v>
      </c>
      <c r="AI9" s="2" t="str">
        <f>IF(ISNUMBER(MINDS!AI$76),MINDS!AI$76," "&amp;MINDS!AI$76)</f>
        <v xml:space="preserve"> </v>
      </c>
      <c r="AJ9" s="2" t="str">
        <f>IF(ISNUMBER(MINDS!AJ$76),MINDS!AJ$76," "&amp;MINDS!AJ$76)</f>
        <v xml:space="preserve"> </v>
      </c>
      <c r="AK9" s="2" t="str">
        <f>IF(ISNUMBER(MINDS!AK$76),MINDS!AK$76," "&amp;MINDS!AK$76)</f>
        <v xml:space="preserve"> </v>
      </c>
      <c r="AL9" s="2" t="str">
        <f>IF(ISNUMBER(MINDS!AL$76),MINDS!AL$76," "&amp;MINDS!AL$76)</f>
        <v xml:space="preserve"> </v>
      </c>
      <c r="AM9" s="2" t="str">
        <f>IF(ISNUMBER(MINDS!AM$76),MINDS!AM$76," "&amp;MINDS!AM$76)</f>
        <v xml:space="preserve"> </v>
      </c>
      <c r="AN9" s="2" t="str">
        <f>IF(ISNUMBER(MINDS!AN$76),MINDS!AN$76," "&amp;MINDS!AN$76)</f>
        <v xml:space="preserve"> </v>
      </c>
      <c r="AO9" s="2" t="str">
        <f>IF(ISNUMBER(MINDS!AO$76),MINDS!AO$76," "&amp;MINDS!AO$76)</f>
        <v xml:space="preserve"> </v>
      </c>
      <c r="AP9" s="2" t="str">
        <f>IF(ISNUMBER(MINDS!AP$76),MINDS!AP$76," "&amp;MINDS!AP$76)</f>
        <v xml:space="preserve"> </v>
      </c>
      <c r="AQ9" s="2" t="str">
        <f>IF(ISNUMBER(MINDS!AQ$76),MINDS!AQ$76," "&amp;MINDS!AQ$76)</f>
        <v xml:space="preserve"> </v>
      </c>
      <c r="AR9" s="2" t="str">
        <f>IF(ISNUMBER(MINDS!AR$76),MINDS!AR$76," "&amp;MINDS!AR$76)</f>
        <v xml:space="preserve"> </v>
      </c>
      <c r="AS9" s="2" t="str">
        <f>IF(ISNUMBER(MINDS!AS$76),MINDS!AS$76," "&amp;MINDS!AS$76)</f>
        <v xml:space="preserve"> </v>
      </c>
      <c r="AT9" s="2" t="str">
        <f>IF(ISNUMBER(MINDS!AT$76),MINDS!AT$76," "&amp;MINDS!AT$76)</f>
        <v xml:space="preserve"> </v>
      </c>
      <c r="AU9" s="2" t="str">
        <f>IF(ISNUMBER(MINDS!AU$76),MINDS!AU$76," "&amp;MINDS!AU$76)</f>
        <v xml:space="preserve"> </v>
      </c>
      <c r="AV9" s="2" t="str">
        <f>IF(ISNUMBER(MINDS!AV$76),MINDS!AV$76," "&amp;MINDS!AV$76)</f>
        <v xml:space="preserve"> </v>
      </c>
      <c r="AW9" s="2" t="str">
        <f>IF(ISNUMBER(MINDS!AW$76),MINDS!AW$76," "&amp;MINDS!AW$76)</f>
        <v xml:space="preserve"> </v>
      </c>
      <c r="AX9" s="2" t="str">
        <f>IF(ISNUMBER(MINDS!AX$76),MINDS!AX$76," "&amp;MINDS!AX$76)</f>
        <v xml:space="preserve"> </v>
      </c>
      <c r="AY9" s="2" t="str">
        <f>IF(ISNUMBER(MINDS!AY$76),MINDS!AY$76," "&amp;MINDS!AY$76)</f>
        <v xml:space="preserve"> </v>
      </c>
      <c r="AZ9" s="2" t="str">
        <f>IF(ISNUMBER(MINDS!AZ$76),MINDS!AZ$76," "&amp;MINDS!AZ$76)</f>
        <v xml:space="preserve"> </v>
      </c>
      <c r="BA9" s="2" t="str">
        <f>IF(ISNUMBER(MINDS!BA$76),MINDS!BA$76," "&amp;MINDS!BA$76)</f>
        <v xml:space="preserve"> </v>
      </c>
      <c r="BB9" s="2" t="str">
        <f>IF(ISNUMBER(MINDS!BB$76),MINDS!BB$76," "&amp;MINDS!BB$76)</f>
        <v xml:space="preserve"> </v>
      </c>
      <c r="BC9" s="2" t="str">
        <f>IF(ISNUMBER(MINDS!BC$76),MINDS!BC$76," "&amp;MINDS!BC$76)</f>
        <v xml:space="preserve"> </v>
      </c>
      <c r="BD9" s="2" t="str">
        <f>IF(ISNUMBER(MINDS!BD$76),MINDS!BD$76," "&amp;MINDS!BD$76)</f>
        <v xml:space="preserve"> </v>
      </c>
      <c r="BE9" s="2" t="str">
        <f>IF(ISNUMBER(MINDS!BE$76),MINDS!BE$76," "&amp;MINDS!BE$76)</f>
        <v xml:space="preserve"> </v>
      </c>
      <c r="BF9" s="2" t="str">
        <f>IF(ISNUMBER(MINDS!BF$76),MINDS!BF$76," "&amp;MINDS!BF$76)</f>
        <v xml:space="preserve"> </v>
      </c>
      <c r="BG9" s="2" t="str">
        <f>IF(ISNUMBER(MINDS!BG$76),MINDS!BG$76," "&amp;MINDS!BG$76)</f>
        <v xml:space="preserve"> </v>
      </c>
      <c r="BH9" s="2" t="str">
        <f>IF(ISNUMBER(MINDS!BH$76),MINDS!BH$76," "&amp;MINDS!BH$76)</f>
        <v xml:space="preserve"> </v>
      </c>
      <c r="BI9" s="2" t="str">
        <f>IF(ISNUMBER(MINDS!BI$76),MINDS!BI$76," "&amp;MINDS!BI$76)</f>
        <v xml:space="preserve"> </v>
      </c>
      <c r="BJ9" s="2" t="str">
        <f>IF(ISNUMBER(MINDS!BJ$76),MINDS!BJ$76," "&amp;MINDS!BJ$76)</f>
        <v xml:space="preserve"> </v>
      </c>
      <c r="BK9" s="2" t="str">
        <f>IF(ISNUMBER(MINDS!BK$76),MINDS!BK$76," "&amp;MINDS!BK$76)</f>
        <v xml:space="preserve"> </v>
      </c>
      <c r="BL9" s="2" t="str">
        <f>IF(ISNUMBER(MINDS!BL$76),MINDS!BL$76," "&amp;MINDS!BL$76)</f>
        <v xml:space="preserve"> </v>
      </c>
      <c r="BM9" s="2" t="str">
        <f>IF(ISNUMBER(MINDS!BM$76),MINDS!BM$76," "&amp;MINDS!BM$76)</f>
        <v xml:space="preserve"> </v>
      </c>
      <c r="BN9" s="2" t="str">
        <f>IF(ISNUMBER(MINDS!BN$76),MINDS!BN$76," "&amp;MINDS!BN$76)</f>
        <v xml:space="preserve"> </v>
      </c>
      <c r="BO9" s="2" t="str">
        <f>IF(ISNUMBER(MINDS!BO$76),MINDS!BO$76," "&amp;MINDS!BO$76)</f>
        <v xml:space="preserve"> </v>
      </c>
      <c r="BP9" s="2" t="str">
        <f>IF(ISNUMBER(MINDS!BP$76),MINDS!BP$76," "&amp;MINDS!BP$76)</f>
        <v xml:space="preserve"> </v>
      </c>
      <c r="BQ9" s="2" t="str">
        <f>IF(ISNUMBER(MINDS!BQ$76),MINDS!BQ$76," "&amp;MINDS!BQ$76)</f>
        <v xml:space="preserve"> </v>
      </c>
      <c r="BR9" s="2" t="str">
        <f>IF(ISNUMBER(MINDS!BR$76),MINDS!BR$76," "&amp;MINDS!BR$76)</f>
        <v xml:space="preserve"> </v>
      </c>
      <c r="BS9" s="2" t="str">
        <f>IF(ISNUMBER(MINDS!BS$76),MINDS!BS$76," "&amp;MINDS!BS$76)</f>
        <v xml:space="preserve"> </v>
      </c>
      <c r="BT9" s="2" t="str">
        <f>IF(ISNUMBER(MINDS!BT$76),MINDS!BT$76," "&amp;MINDS!BT$76)</f>
        <v xml:space="preserve"> </v>
      </c>
      <c r="BU9" s="2" t="str">
        <f>IF(ISNUMBER(MINDS!BU$76),MINDS!BU$76," "&amp;MINDS!BU$76)</f>
        <v xml:space="preserve"> </v>
      </c>
      <c r="BV9" s="2" t="str">
        <f>IF(ISNUMBER(MINDS!BV$76),MINDS!BV$76," "&amp;MINDS!BV$76)</f>
        <v xml:space="preserve"> </v>
      </c>
      <c r="BW9" s="2" t="str">
        <f>IF(ISNUMBER(MINDS!BW$76),MINDS!BW$76," "&amp;MINDS!BW$76)</f>
        <v xml:space="preserve"> </v>
      </c>
      <c r="BX9" s="2" t="str">
        <f>IF(ISNUMBER(MINDS!BX$76),MINDS!BX$76," "&amp;MINDS!BX$76)</f>
        <v xml:space="preserve"> </v>
      </c>
      <c r="BY9" s="2" t="str">
        <f>IF(ISNUMBER(MINDS!BY$76),MINDS!BY$76," "&amp;MINDS!BY$76)</f>
        <v xml:space="preserve"> </v>
      </c>
      <c r="BZ9" s="2" t="str">
        <f>IF(ISNUMBER(MINDS!BZ$76),MINDS!BZ$76," "&amp;MINDS!BZ$76)</f>
        <v xml:space="preserve"> </v>
      </c>
      <c r="CA9" s="2" t="str">
        <f>IF(ISNUMBER(MINDS!CA$76),MINDS!CA$76," "&amp;MINDS!CA$76)</f>
        <v xml:space="preserve"> </v>
      </c>
      <c r="CB9" s="2" t="str">
        <f>IF(ISNUMBER(MINDS!CB$76),MINDS!CB$76," "&amp;MINDS!CB$76)</f>
        <v xml:space="preserve"> </v>
      </c>
      <c r="CC9" s="2" t="str">
        <f>IF(ISNUMBER(MINDS!CC$76),MINDS!CC$76," "&amp;MINDS!CC$76)</f>
        <v xml:space="preserve"> </v>
      </c>
      <c r="CD9" s="2" t="str">
        <f>IF(ISNUMBER(MINDS!CD$76),MINDS!CD$76," "&amp;MINDS!CD$76)</f>
        <v xml:space="preserve"> </v>
      </c>
      <c r="CE9" s="2" t="str">
        <f>IF(ISNUMBER(MINDS!CE$76),MINDS!CE$76," "&amp;MINDS!CE$76)</f>
        <v xml:space="preserve"> </v>
      </c>
      <c r="CF9" s="2" t="str">
        <f>IF(ISNUMBER(MINDS!CF$76),MINDS!CF$76," "&amp;MINDS!CF$76)</f>
        <v xml:space="preserve"> </v>
      </c>
      <c r="CG9" s="2" t="str">
        <f>IF(ISNUMBER(MINDS!CG$76),MINDS!CG$76," "&amp;MINDS!CG$76)</f>
        <v xml:space="preserve"> </v>
      </c>
      <c r="CH9" s="2" t="str">
        <f>IF(ISNUMBER(MINDS!CH$76),MINDS!CH$76," "&amp;MINDS!CH$76)</f>
        <v xml:space="preserve"> </v>
      </c>
      <c r="CI9" s="2" t="str">
        <f>IF(ISNUMBER(MINDS!CI$76),MINDS!CI$76," "&amp;MINDS!CI$76)</f>
        <v xml:space="preserve"> </v>
      </c>
      <c r="CJ9" s="2" t="str">
        <f>IF(ISNUMBER(MINDS!CJ$76),MINDS!CJ$76," "&amp;MINDS!CJ$76)</f>
        <v xml:space="preserve"> </v>
      </c>
      <c r="CK9" s="2" t="str">
        <f>IF(ISNUMBER(MINDS!CK$76),MINDS!CK$76," "&amp;MINDS!CK$76)</f>
        <v xml:space="preserve"> </v>
      </c>
      <c r="CL9" s="2" t="str">
        <f>IF(ISNUMBER(MINDS!CL$76),MINDS!CL$76," "&amp;MINDS!CL$76)</f>
        <v xml:space="preserve"> </v>
      </c>
      <c r="CM9" s="2" t="str">
        <f>IF(ISNUMBER(MINDS!CM$76),MINDS!CM$76," "&amp;MINDS!CM$76)</f>
        <v xml:space="preserve"> </v>
      </c>
      <c r="CN9" s="2" t="str">
        <f>IF(ISNUMBER(MINDS!CN$76),MINDS!CN$76," "&amp;MINDS!CN$76)</f>
        <v xml:space="preserve"> </v>
      </c>
      <c r="CO9" s="2" t="str">
        <f>IF(ISNUMBER(MINDS!CO$76),MINDS!CO$76," "&amp;MINDS!CO$76)</f>
        <v xml:space="preserve"> </v>
      </c>
      <c r="CP9" s="2" t="str">
        <f>IF(ISNUMBER(MINDS!CP$76),MINDS!CP$76," "&amp;MINDS!CP$76)</f>
        <v xml:space="preserve"> </v>
      </c>
      <c r="CQ9" s="2" t="str">
        <f>IF(ISNUMBER(MINDS!CQ$76),MINDS!CQ$76," "&amp;MINDS!CQ$76)</f>
        <v xml:space="preserve"> </v>
      </c>
      <c r="CR9" s="2" t="str">
        <f>IF(ISNUMBER(MINDS!CR$76),MINDS!CR$76," "&amp;MINDS!CR$76)</f>
        <v xml:space="preserve"> </v>
      </c>
      <c r="CS9" s="2" t="str">
        <f>IF(ISNUMBER(MINDS!CS$76),MINDS!CS$76," "&amp;MINDS!CS$76)</f>
        <v xml:space="preserve"> </v>
      </c>
      <c r="CT9" s="2" t="str">
        <f>IF(ISNUMBER(MINDS!CT$76),MINDS!CT$76," "&amp;MINDS!CT$76)</f>
        <v xml:space="preserve"> </v>
      </c>
      <c r="CU9" s="2" t="str">
        <f>IF(ISNUMBER(MINDS!CU$76),MINDS!CU$76," "&amp;MINDS!CU$76)</f>
        <v xml:space="preserve"> </v>
      </c>
      <c r="CV9" s="2" t="str">
        <f>IF(ISNUMBER(MINDS!CV$76),MINDS!CV$76," "&amp;MINDS!CV$76)</f>
        <v xml:space="preserve"> </v>
      </c>
      <c r="CW9" s="2" t="str">
        <f>IF(ISNUMBER(MINDS!CW$76),MINDS!CW$76," "&amp;MINDS!CW$76)</f>
        <v xml:space="preserve"> </v>
      </c>
      <c r="CX9" s="2" t="str">
        <f>IF(ISNUMBER(MINDS!CX$76),MINDS!CX$76," "&amp;MINDS!CX$76)</f>
        <v xml:space="preserve"> </v>
      </c>
      <c r="CY9" s="2" t="str">
        <f>IF(ISNUMBER(MINDS!CY$76),MINDS!CY$76," "&amp;MINDS!CY$76)</f>
        <v xml:space="preserve"> </v>
      </c>
      <c r="CZ9" s="2" t="str">
        <f>IF(ISNUMBER(MINDS!CZ$76),MINDS!CZ$76," "&amp;MINDS!CZ$76)</f>
        <v xml:space="preserve"> </v>
      </c>
      <c r="DA9" s="2" t="str">
        <f>IF(ISNUMBER(MINDS!DA$76),MINDS!DA$76," "&amp;MINDS!DA$76)</f>
        <v xml:space="preserve"> </v>
      </c>
      <c r="DB9" s="2" t="str">
        <f>IF(ISNUMBER(MINDS!DB$76),MINDS!DB$76," "&amp;MINDS!DB$76)</f>
        <v xml:space="preserve"> </v>
      </c>
      <c r="DC9" s="2" t="str">
        <f>IF(ISNUMBER(MINDS!DC$76),MINDS!DC$76," "&amp;MINDS!DC$76)</f>
        <v xml:space="preserve"> </v>
      </c>
      <c r="DD9" s="2" t="str">
        <f>IF(ISNUMBER(MINDS!DD$76),MINDS!DD$76," "&amp;MINDS!DD$76)</f>
        <v xml:space="preserve"> </v>
      </c>
      <c r="DE9" s="2" t="str">
        <f>IF(ISNUMBER(MINDS!DE$76),MINDS!DE$76," "&amp;MINDS!DE$76)</f>
        <v xml:space="preserve"> </v>
      </c>
      <c r="DF9" s="2" t="str">
        <f>IF(ISNUMBER(MINDS!DF$76),MINDS!DF$76," "&amp;MINDS!DF$76)</f>
        <v xml:space="preserve"> </v>
      </c>
      <c r="DG9" s="2" t="str">
        <f>IF(ISNUMBER(MINDS!DG$76),MINDS!DG$76," "&amp;MINDS!DG$76)</f>
        <v xml:space="preserve"> </v>
      </c>
      <c r="DH9" s="2" t="str">
        <f>IF(ISNUMBER(MINDS!DH$76),MINDS!DH$76," "&amp;MINDS!DH$76)</f>
        <v xml:space="preserve"> </v>
      </c>
      <c r="DI9" s="2" t="str">
        <f>IF(ISNUMBER(MINDS!DI$76),MINDS!DI$76," "&amp;MINDS!DI$76)</f>
        <v xml:space="preserve"> </v>
      </c>
      <c r="DJ9" s="2" t="str">
        <f>IF(ISNUMBER(MINDS!DJ$76),MINDS!DJ$76," "&amp;MINDS!DJ$76)</f>
        <v xml:space="preserve"> </v>
      </c>
      <c r="DK9" s="2" t="str">
        <f>IF(ISNUMBER(MINDS!DK$76),MINDS!DK$76," "&amp;MINDS!DK$76)</f>
        <v xml:space="preserve"> </v>
      </c>
      <c r="DL9" s="2" t="str">
        <f>IF(ISNUMBER(MINDS!DL$76),MINDS!DL$76," "&amp;MINDS!DL$76)</f>
        <v xml:space="preserve"> </v>
      </c>
      <c r="DM9" s="2" t="str">
        <f>IF(ISNUMBER(MINDS!DM$76),MINDS!DM$76," "&amp;MINDS!DM$76)</f>
        <v xml:space="preserve"> </v>
      </c>
      <c r="DN9" s="2" t="str">
        <f>IF(ISNUMBER(MINDS!DN$76),MINDS!DN$76," "&amp;MINDS!DN$76)</f>
        <v xml:space="preserve"> </v>
      </c>
      <c r="DO9" s="2" t="str">
        <f>IF(ISNUMBER(MINDS!DO$76),MINDS!DO$76," "&amp;MINDS!DO$76)</f>
        <v xml:space="preserve"> </v>
      </c>
      <c r="DP9" s="2" t="str">
        <f>IF(ISNUMBER(MINDS!DP$76),MINDS!DP$76," "&amp;MINDS!DP$76)</f>
        <v xml:space="preserve"> </v>
      </c>
      <c r="DQ9" s="2" t="str">
        <f>IF(ISNUMBER(MINDS!DQ$76),MINDS!DQ$76," "&amp;MINDS!DQ$76)</f>
        <v xml:space="preserve"> </v>
      </c>
      <c r="DR9" s="2" t="str">
        <f>IF(ISNUMBER(MINDS!DR$76),MINDS!DR$76," "&amp;MINDS!DR$76)</f>
        <v xml:space="preserve"> </v>
      </c>
      <c r="DS9" s="2" t="str">
        <f>IF(ISNUMBER(MINDS!DS$76),MINDS!DS$76," "&amp;MINDS!DS$76)</f>
        <v xml:space="preserve"> </v>
      </c>
      <c r="DT9" s="2" t="str">
        <f>IF(ISNUMBER(MINDS!DT$76),MINDS!DT$76," "&amp;MINDS!DT$76)</f>
        <v xml:space="preserve"> </v>
      </c>
      <c r="DU9" s="2" t="str">
        <f>IF(ISNUMBER(MINDS!DU$76),MINDS!DU$76," "&amp;MINDS!DU$76)</f>
        <v xml:space="preserve"> </v>
      </c>
      <c r="DV9" s="2" t="str">
        <f>IF(ISNUMBER(MINDS!DV$76),MINDS!DV$76," "&amp;MINDS!DV$76)</f>
        <v xml:space="preserve"> </v>
      </c>
      <c r="DW9" s="2" t="str">
        <f>IF(ISNUMBER(MINDS!DW$76),MINDS!DW$76," "&amp;MINDS!DW$76)</f>
        <v xml:space="preserve"> </v>
      </c>
      <c r="DX9" s="2" t="str">
        <f>IF(ISNUMBER(MINDS!DX$76),MINDS!DX$76," "&amp;MINDS!DX$76)</f>
        <v xml:space="preserve"> </v>
      </c>
      <c r="DY9" s="2" t="str">
        <f>IF(ISNUMBER(MINDS!DY$76),MINDS!DY$76," "&amp;MINDS!DY$76)</f>
        <v xml:space="preserve"> </v>
      </c>
      <c r="DZ9" s="2" t="str">
        <f>IF(ISNUMBER(MINDS!DZ$76),MINDS!DZ$76," "&amp;MINDS!DZ$76)</f>
        <v xml:space="preserve"> </v>
      </c>
      <c r="EA9" s="2" t="str">
        <f>IF(ISNUMBER(MINDS!EA$76),MINDS!EA$76," "&amp;MINDS!EA$76)</f>
        <v xml:space="preserve"> </v>
      </c>
      <c r="EB9" s="2" t="str">
        <f>IF(ISNUMBER(MINDS!EB$76),MINDS!EB$76," "&amp;MINDS!EB$76)</f>
        <v xml:space="preserve"> </v>
      </c>
      <c r="EC9" s="2" t="str">
        <f>IF(ISNUMBER(MINDS!EC$76),MINDS!EC$76," "&amp;MINDS!EC$76)</f>
        <v xml:space="preserve"> </v>
      </c>
      <c r="ED9" s="2" t="str">
        <f>IF(ISNUMBER(MINDS!ED$76),MINDS!ED$76," "&amp;MINDS!ED$76)</f>
        <v xml:space="preserve"> </v>
      </c>
      <c r="EE9" s="2" t="str">
        <f>IF(ISNUMBER(MINDS!EE$76),MINDS!EE$76," "&amp;MINDS!EE$76)</f>
        <v xml:space="preserve"> </v>
      </c>
      <c r="EF9" s="2" t="str">
        <f>IF(ISNUMBER(MINDS!EF$76),MINDS!EF$76," "&amp;MINDS!EF$76)</f>
        <v xml:space="preserve"> </v>
      </c>
      <c r="EG9" s="2" t="str">
        <f>IF(ISNUMBER(MINDS!EG$76),MINDS!EG$76," "&amp;MINDS!EG$76)</f>
        <v xml:space="preserve"> </v>
      </c>
      <c r="EH9" s="2" t="str">
        <f>IF(ISNUMBER(MINDS!EH$76),MINDS!EH$76," "&amp;MINDS!EH$76)</f>
        <v xml:space="preserve"> </v>
      </c>
      <c r="EI9" s="2" t="str">
        <f>IF(ISNUMBER(MINDS!EI$76),MINDS!EI$76," "&amp;MINDS!EI$76)</f>
        <v xml:space="preserve"> </v>
      </c>
      <c r="EJ9" s="2" t="str">
        <f>IF(ISNUMBER(MINDS!EJ$76),MINDS!EJ$76," "&amp;MINDS!EJ$76)</f>
        <v xml:space="preserve"> </v>
      </c>
      <c r="EK9" s="2" t="str">
        <f>IF(ISNUMBER(MINDS!EK$76),MINDS!EK$76," "&amp;MINDS!EK$76)</f>
        <v xml:space="preserve"> </v>
      </c>
      <c r="EL9" s="2" t="str">
        <f>IF(ISNUMBER(MINDS!EL$76),MINDS!EL$76," "&amp;MINDS!EL$76)</f>
        <v xml:space="preserve"> </v>
      </c>
      <c r="EM9" s="2" t="str">
        <f>IF(ISNUMBER(MINDS!EM$76),MINDS!EM$76," "&amp;MINDS!EM$76)</f>
        <v xml:space="preserve"> </v>
      </c>
      <c r="EN9" s="2" t="str">
        <f>IF(ISNUMBER(MINDS!EN$76),MINDS!EN$76," "&amp;MINDS!EN$76)</f>
        <v xml:space="preserve"> </v>
      </c>
      <c r="EO9" s="2" t="str">
        <f>IF(ISNUMBER(MINDS!EO$76),MINDS!EO$76," "&amp;MINDS!EO$76)</f>
        <v xml:space="preserve"> </v>
      </c>
      <c r="EP9" s="2" t="str">
        <f>IF(ISNUMBER(MINDS!EP$76),MINDS!EP$76," "&amp;MINDS!EP$76)</f>
        <v xml:space="preserve"> </v>
      </c>
      <c r="EQ9" s="2" t="str">
        <f>IF(ISNUMBER(MINDS!EQ$76),MINDS!EQ$76," "&amp;MINDS!EQ$76)</f>
        <v xml:space="preserve"> </v>
      </c>
      <c r="ER9" s="2" t="str">
        <f>IF(ISNUMBER(MINDS!ER$76),MINDS!ER$76," "&amp;MINDS!ER$76)</f>
        <v xml:space="preserve"> </v>
      </c>
      <c r="ES9" s="2" t="str">
        <f>IF(ISNUMBER(MINDS!ES$76),MINDS!ES$76," "&amp;MINDS!ES$76)</f>
        <v xml:space="preserve"> </v>
      </c>
      <c r="ET9" s="2" t="str">
        <f>IF(ISNUMBER(MINDS!ET$76),MINDS!ET$76," "&amp;MINDS!ET$76)</f>
        <v xml:space="preserve"> </v>
      </c>
      <c r="EU9" s="2" t="str">
        <f>IF(ISNUMBER(MINDS!EU$76),MINDS!EU$76," "&amp;MINDS!EU$76)</f>
        <v xml:space="preserve"> </v>
      </c>
      <c r="EV9" s="2" t="str">
        <f>IF(ISNUMBER(MINDS!EV$76),MINDS!EV$76," "&amp;MINDS!EV$76)</f>
        <v xml:space="preserve"> </v>
      </c>
      <c r="EW9" s="2" t="str">
        <f>IF(ISNUMBER(MINDS!EW$76),MINDS!EW$76," "&amp;MINDS!EW$76)</f>
        <v xml:space="preserve"> </v>
      </c>
      <c r="EX9" s="2" t="str">
        <f>IF(ISNUMBER(MINDS!EX$76),MINDS!EX$76," "&amp;MINDS!EX$76)</f>
        <v xml:space="preserve"> </v>
      </c>
      <c r="EY9" s="2" t="str">
        <f>IF(ISNUMBER(MINDS!EY$76),MINDS!EY$76," "&amp;MINDS!EY$76)</f>
        <v xml:space="preserve"> </v>
      </c>
      <c r="EZ9" s="2" t="str">
        <f>IF(ISNUMBER(MINDS!EZ$76),MINDS!EZ$76," "&amp;MINDS!EZ$76)</f>
        <v xml:space="preserve"> </v>
      </c>
      <c r="FA9" s="2" t="str">
        <f>IF(ISNUMBER(MINDS!FA$76),MINDS!FA$76," "&amp;MINDS!FA$76)</f>
        <v xml:space="preserve"> </v>
      </c>
      <c r="FB9" s="2" t="str">
        <f>IF(ISNUMBER(MINDS!FB$76),MINDS!FB$76," "&amp;MINDS!FB$76)</f>
        <v xml:space="preserve"> </v>
      </c>
      <c r="FC9" s="2" t="str">
        <f>IF(ISNUMBER(MINDS!FC$76),MINDS!FC$76," "&amp;MINDS!FC$76)</f>
        <v xml:space="preserve"> </v>
      </c>
      <c r="FD9" s="2" t="str">
        <f>IF(ISNUMBER(MINDS!FD$76),MINDS!FD$76," "&amp;MINDS!FD$76)</f>
        <v xml:space="preserve"> </v>
      </c>
      <c r="FE9" s="2" t="str">
        <f>IF(ISNUMBER(MINDS!FE$76),MINDS!FE$76," "&amp;MINDS!FE$76)</f>
        <v xml:space="preserve"> </v>
      </c>
      <c r="FF9" s="2" t="str">
        <f>IF(ISNUMBER(MINDS!FF$76),MINDS!FF$76," "&amp;MINDS!FF$76)</f>
        <v xml:space="preserve"> </v>
      </c>
      <c r="FG9" s="2" t="str">
        <f>IF(ISNUMBER(MINDS!FG$76),MINDS!FG$76," "&amp;MINDS!FG$76)</f>
        <v xml:space="preserve"> </v>
      </c>
      <c r="FH9" s="2" t="str">
        <f>IF(ISNUMBER(MINDS!FH$76),MINDS!FH$76," "&amp;MINDS!FH$76)</f>
        <v xml:space="preserve"> </v>
      </c>
      <c r="FI9" s="2" t="str">
        <f>IF(ISNUMBER(MINDS!FI$76),MINDS!FI$76," "&amp;MINDS!FI$76)</f>
        <v xml:space="preserve"> </v>
      </c>
      <c r="FJ9" s="2" t="str">
        <f>IF(ISNUMBER(MINDS!FJ$76),MINDS!FJ$76," "&amp;MINDS!FJ$76)</f>
        <v xml:space="preserve"> </v>
      </c>
      <c r="FK9" s="2" t="str">
        <f>IF(ISNUMBER(MINDS!FK$76),MINDS!FK$76," "&amp;MINDS!FK$76)</f>
        <v xml:space="preserve"> </v>
      </c>
      <c r="FL9" s="2" t="str">
        <f>IF(ISNUMBER(MINDS!FL$76),MINDS!FL$76," "&amp;MINDS!FL$76)</f>
        <v xml:space="preserve"> </v>
      </c>
      <c r="FM9" s="2" t="str">
        <f>IF(ISNUMBER(MINDS!FM$76),MINDS!FM$76," "&amp;MINDS!FM$76)</f>
        <v xml:space="preserve"> </v>
      </c>
      <c r="FN9" s="2" t="str">
        <f>IF(ISNUMBER(MINDS!FN$76),MINDS!FN$76," "&amp;MINDS!FN$76)</f>
        <v xml:space="preserve"> </v>
      </c>
      <c r="FO9" s="2" t="str">
        <f>IF(ISNUMBER(MINDS!FO$76),MINDS!FO$76," "&amp;MINDS!FO$76)</f>
        <v xml:space="preserve"> </v>
      </c>
      <c r="FP9" s="2" t="str">
        <f>IF(ISNUMBER(MINDS!FP$76),MINDS!FP$76," "&amp;MINDS!FP$76)</f>
        <v xml:space="preserve"> </v>
      </c>
      <c r="FQ9" s="2" t="str">
        <f>IF(ISNUMBER(MINDS!FQ$76),MINDS!FQ$76," "&amp;MINDS!FQ$76)</f>
        <v xml:space="preserve"> </v>
      </c>
      <c r="FR9" s="2" t="str">
        <f>IF(ISNUMBER(MINDS!FR$76),MINDS!FR$76," "&amp;MINDS!FR$76)</f>
        <v xml:space="preserve"> </v>
      </c>
      <c r="FS9" s="2" t="str">
        <f>IF(ISNUMBER(MINDS!FS$76),MINDS!FS$76," "&amp;MINDS!FS$76)</f>
        <v xml:space="preserve"> </v>
      </c>
      <c r="FT9" s="2" t="str">
        <f>IF(ISNUMBER(MINDS!FT$76),MINDS!FT$76," "&amp;MINDS!FT$76)</f>
        <v xml:space="preserve"> </v>
      </c>
      <c r="FU9" s="2" t="str">
        <f>IF(ISNUMBER(MINDS!FU$76),MINDS!FU$76," "&amp;MINDS!FU$76)</f>
        <v xml:space="preserve"> </v>
      </c>
      <c r="FV9" s="2" t="str">
        <f>IF(ISNUMBER(MINDS!FV$76),MINDS!FV$76," "&amp;MINDS!FV$76)</f>
        <v xml:space="preserve"> </v>
      </c>
      <c r="FW9" s="2" t="str">
        <f>IF(ISNUMBER(MINDS!FW$76),MINDS!FW$76," "&amp;MINDS!FW$76)</f>
        <v xml:space="preserve"> </v>
      </c>
      <c r="FX9" s="2" t="str">
        <f>IF(ISNUMBER(MINDS!FX$76),MINDS!FX$76," "&amp;MINDS!FX$76)</f>
        <v xml:space="preserve"> </v>
      </c>
      <c r="FY9" s="2" t="str">
        <f>IF(ISNUMBER(MINDS!FY$76),MINDS!FY$76," "&amp;MINDS!FY$76)</f>
        <v xml:space="preserve"> </v>
      </c>
      <c r="FZ9" s="2" t="str">
        <f>IF(ISNUMBER(MINDS!FZ$76),MINDS!FZ$76," "&amp;MINDS!FZ$76)</f>
        <v xml:space="preserve"> </v>
      </c>
      <c r="GA9" s="2" t="str">
        <f>IF(ISNUMBER(MINDS!GA$76),MINDS!GA$76," "&amp;MINDS!GA$76)</f>
        <v xml:space="preserve"> </v>
      </c>
      <c r="GB9" s="2" t="str">
        <f>IF(ISNUMBER(MINDS!GB$76),MINDS!GB$76," "&amp;MINDS!GB$76)</f>
        <v xml:space="preserve"> </v>
      </c>
      <c r="GC9" s="2" t="str">
        <f>IF(ISNUMBER(MINDS!GC$76),MINDS!GC$76," "&amp;MINDS!GC$76)</f>
        <v xml:space="preserve"> </v>
      </c>
      <c r="GD9" s="2" t="str">
        <f>IF(ISNUMBER(MINDS!GD$76),MINDS!GD$76," "&amp;MINDS!GD$76)</f>
        <v xml:space="preserve"> </v>
      </c>
      <c r="GE9" s="2" t="str">
        <f>IF(ISNUMBER(MINDS!GE$76),MINDS!GE$76," "&amp;MINDS!GE$76)</f>
        <v xml:space="preserve"> </v>
      </c>
      <c r="GF9" s="2" t="str">
        <f>IF(ISNUMBER(MINDS!GF$76),MINDS!GF$76," "&amp;MINDS!GF$76)</f>
        <v xml:space="preserve"> </v>
      </c>
      <c r="GG9" s="2" t="str">
        <f>IF(ISNUMBER(MINDS!GG$76),MINDS!GG$76," "&amp;MINDS!GG$76)</f>
        <v xml:space="preserve"> </v>
      </c>
      <c r="GH9" s="2" t="str">
        <f>IF(ISNUMBER(MINDS!GH$76),MINDS!GH$76," "&amp;MINDS!GH$76)</f>
        <v xml:space="preserve"> </v>
      </c>
      <c r="GI9" s="2" t="str">
        <f>IF(ISNUMBER(MINDS!GI$76),MINDS!GI$76," "&amp;MINDS!GI$76)</f>
        <v xml:space="preserve"> </v>
      </c>
      <c r="GJ9" s="2" t="str">
        <f>IF(ISNUMBER(MINDS!GJ$76),MINDS!GJ$76," "&amp;MINDS!GJ$76)</f>
        <v xml:space="preserve"> </v>
      </c>
      <c r="GK9" s="2" t="str">
        <f>IF(ISNUMBER(MINDS!GK$76),MINDS!GK$76," "&amp;MINDS!GK$76)</f>
        <v xml:space="preserve"> </v>
      </c>
      <c r="GL9" s="2" t="str">
        <f>IF(ISNUMBER(MINDS!GL$76),MINDS!GL$76," "&amp;MINDS!GL$76)</f>
        <v xml:space="preserve"> </v>
      </c>
      <c r="GM9" s="2" t="str">
        <f>IF(ISNUMBER(MINDS!GM$76),MINDS!GM$76," "&amp;MINDS!GM$76)</f>
        <v xml:space="preserve"> </v>
      </c>
      <c r="GN9" s="2" t="str">
        <f>IF(ISNUMBER(MINDS!GN$76),MINDS!GN$76," "&amp;MINDS!GN$76)</f>
        <v xml:space="preserve"> </v>
      </c>
      <c r="GO9" s="2" t="str">
        <f>IF(ISNUMBER(MINDS!GO$76),MINDS!GO$76," "&amp;MINDS!GO$76)</f>
        <v xml:space="preserve"> </v>
      </c>
      <c r="GP9" s="2" t="str">
        <f>IF(ISNUMBER(MINDS!GP$76),MINDS!GP$76," "&amp;MINDS!GP$76)</f>
        <v xml:space="preserve"> </v>
      </c>
      <c r="GQ9" s="2" t="str">
        <f>IF(ISNUMBER(MINDS!GQ$76),MINDS!GQ$76," "&amp;MINDS!GQ$76)</f>
        <v xml:space="preserve"> </v>
      </c>
      <c r="GR9" s="2" t="str">
        <f>IF(ISNUMBER(MINDS!GR$76),MINDS!GR$76," "&amp;MINDS!GR$76)</f>
        <v xml:space="preserve"> </v>
      </c>
      <c r="GS9" s="2" t="str">
        <f>IF(ISNUMBER(MINDS!GS$76),MINDS!GS$76," "&amp;MINDS!GS$76)</f>
        <v xml:space="preserve"> </v>
      </c>
      <c r="GT9" s="2" t="str">
        <f>IF(ISNUMBER(MINDS!GT$76),MINDS!GT$76," "&amp;MINDS!GT$76)</f>
        <v xml:space="preserve"> </v>
      </c>
      <c r="GU9" s="2" t="str">
        <f>IF(ISNUMBER(MINDS!GU$76),MINDS!GU$76," "&amp;MINDS!GU$76)</f>
        <v xml:space="preserve"> </v>
      </c>
      <c r="GV9" s="2" t="str">
        <f>IF(ISNUMBER(MINDS!GV$76),MINDS!GV$76," "&amp;MINDS!GV$76)</f>
        <v xml:space="preserve"> </v>
      </c>
      <c r="GW9" s="2" t="str">
        <f>IF(ISNUMBER(MINDS!GW$76),MINDS!GW$76," "&amp;MINDS!GW$76)</f>
        <v xml:space="preserve"> </v>
      </c>
      <c r="GX9" s="2" t="str">
        <f>IF(ISNUMBER(MINDS!GX$76),MINDS!GX$76," "&amp;MINDS!GX$76)</f>
        <v xml:space="preserve"> </v>
      </c>
      <c r="GY9" s="2" t="str">
        <f>IF(ISNUMBER(MINDS!GY$76),MINDS!GY$76," "&amp;MINDS!GY$76)</f>
        <v xml:space="preserve"> </v>
      </c>
      <c r="GZ9" s="2" t="str">
        <f>IF(ISNUMBER(MINDS!GZ$76),MINDS!GZ$76," "&amp;MINDS!GZ$76)</f>
        <v xml:space="preserve"> </v>
      </c>
      <c r="HA9" s="2" t="str">
        <f>IF(ISNUMBER(MINDS!HA$76),MINDS!HA$76," "&amp;MINDS!HA$76)</f>
        <v xml:space="preserve"> </v>
      </c>
      <c r="HB9" s="2" t="str">
        <f>IF(ISNUMBER(MINDS!HB$76),MINDS!HB$76," "&amp;MINDS!HB$76)</f>
        <v xml:space="preserve"> </v>
      </c>
      <c r="HC9" s="2" t="str">
        <f>IF(ISNUMBER(MINDS!HC$76),MINDS!HC$76," "&amp;MINDS!HC$76)</f>
        <v xml:space="preserve"> </v>
      </c>
      <c r="HD9" s="2" t="str">
        <f>IF(ISNUMBER(MINDS!HD$76),MINDS!HD$76," "&amp;MINDS!HD$76)</f>
        <v xml:space="preserve"> </v>
      </c>
      <c r="HE9" s="2" t="str">
        <f>IF(ISNUMBER(MINDS!HE$76),MINDS!HE$76," "&amp;MINDS!HE$76)</f>
        <v xml:space="preserve"> </v>
      </c>
      <c r="HF9" s="2" t="str">
        <f>IF(ISNUMBER(MINDS!HF$76),MINDS!HF$76," "&amp;MINDS!HF$76)</f>
        <v xml:space="preserve"> </v>
      </c>
      <c r="HG9" s="2" t="str">
        <f>IF(ISNUMBER(MINDS!HG$76),MINDS!HG$76," "&amp;MINDS!HG$76)</f>
        <v xml:space="preserve"> </v>
      </c>
      <c r="HH9" s="2" t="str">
        <f>IF(ISNUMBER(MINDS!HH$76),MINDS!HH$76," "&amp;MINDS!HH$76)</f>
        <v xml:space="preserve"> </v>
      </c>
      <c r="HI9" s="2" t="str">
        <f>IF(ISNUMBER(MINDS!HI$76),MINDS!HI$76," "&amp;MINDS!HI$76)</f>
        <v xml:space="preserve"> </v>
      </c>
      <c r="HJ9" s="2" t="str">
        <f>IF(ISNUMBER(MINDS!HJ$76),MINDS!HJ$76," "&amp;MINDS!HJ$76)</f>
        <v xml:space="preserve"> </v>
      </c>
      <c r="HK9" s="2" t="str">
        <f>IF(ISNUMBER(MINDS!HK$76),MINDS!HK$76," "&amp;MINDS!HK$76)</f>
        <v xml:space="preserve"> </v>
      </c>
      <c r="HL9" s="2" t="str">
        <f>IF(ISNUMBER(MINDS!HL$76),MINDS!HL$76," "&amp;MINDS!HL$76)</f>
        <v xml:space="preserve"> </v>
      </c>
      <c r="HM9" s="2" t="str">
        <f>IF(ISNUMBER(MINDS!HM$76),MINDS!HM$76," "&amp;MINDS!HM$76)</f>
        <v xml:space="preserve"> </v>
      </c>
      <c r="HN9" s="2" t="str">
        <f>IF(ISNUMBER(MINDS!HN$76),MINDS!HN$76," "&amp;MINDS!HN$76)</f>
        <v xml:space="preserve"> </v>
      </c>
      <c r="HO9" s="2" t="str">
        <f>IF(ISNUMBER(MINDS!HO$76),MINDS!HO$76," "&amp;MINDS!HO$76)</f>
        <v xml:space="preserve"> </v>
      </c>
      <c r="HP9" s="2" t="str">
        <f>IF(ISNUMBER(MINDS!HP$76),MINDS!HP$76," "&amp;MINDS!HP$76)</f>
        <v xml:space="preserve"> </v>
      </c>
      <c r="HQ9" s="2" t="str">
        <f>IF(ISNUMBER(MINDS!HQ$76),MINDS!HQ$76," "&amp;MINDS!HQ$76)</f>
        <v xml:space="preserve"> </v>
      </c>
      <c r="HR9" s="2" t="str">
        <f>IF(ISNUMBER(MINDS!HR$76),MINDS!HR$76," "&amp;MINDS!HR$76)</f>
        <v xml:space="preserve"> </v>
      </c>
      <c r="HS9" s="2" t="str">
        <f>IF(ISNUMBER(MINDS!HS$76),MINDS!HS$76," "&amp;MINDS!HS$76)</f>
        <v xml:space="preserve"> </v>
      </c>
      <c r="HT9" s="2" t="str">
        <f>IF(ISNUMBER(MINDS!HT$76),MINDS!HT$76," "&amp;MINDS!HT$76)</f>
        <v xml:space="preserve"> </v>
      </c>
      <c r="HU9" s="2" t="str">
        <f>IF(ISNUMBER(MINDS!HU$76),MINDS!HU$76," "&amp;MINDS!HU$76)</f>
        <v xml:space="preserve"> </v>
      </c>
      <c r="HV9" s="2" t="str">
        <f>IF(ISNUMBER(MINDS!HV$76),MINDS!HV$76," "&amp;MINDS!HV$76)</f>
        <v xml:space="preserve"> </v>
      </c>
      <c r="HW9" s="2" t="str">
        <f>IF(ISNUMBER(MINDS!HW$76),MINDS!HW$76," "&amp;MINDS!HW$76)</f>
        <v xml:space="preserve"> </v>
      </c>
      <c r="HX9" s="2" t="str">
        <f>IF(ISNUMBER(MINDS!HX$76),MINDS!HX$76," "&amp;MINDS!HX$76)</f>
        <v xml:space="preserve"> </v>
      </c>
      <c r="HY9" s="2" t="str">
        <f>IF(ISNUMBER(MINDS!HY$76),MINDS!HY$76," "&amp;MINDS!HY$76)</f>
        <v xml:space="preserve"> </v>
      </c>
      <c r="HZ9" s="2" t="str">
        <f>IF(ISNUMBER(MINDS!HZ$76),MINDS!HZ$76," "&amp;MINDS!HZ$76)</f>
        <v xml:space="preserve"> </v>
      </c>
      <c r="IA9" s="2" t="str">
        <f>IF(ISNUMBER(MINDS!IA$76),MINDS!IA$76," "&amp;MINDS!IA$76)</f>
        <v xml:space="preserve"> </v>
      </c>
      <c r="IB9" s="2" t="str">
        <f>IF(ISNUMBER(MINDS!IB$76),MINDS!IB$76," "&amp;MINDS!IB$76)</f>
        <v xml:space="preserve"> </v>
      </c>
      <c r="IC9" s="2" t="str">
        <f>IF(ISNUMBER(MINDS!IC$76),MINDS!IC$76," "&amp;MINDS!IC$76)</f>
        <v xml:space="preserve"> </v>
      </c>
      <c r="ID9" s="2" t="str">
        <f>IF(ISNUMBER(MINDS!ID$76),MINDS!ID$76," "&amp;MINDS!ID$76)</f>
        <v xml:space="preserve"> </v>
      </c>
      <c r="IE9" s="2" t="str">
        <f>IF(ISNUMBER(MINDS!IE$76),MINDS!IE$76," "&amp;MINDS!IE$76)</f>
        <v xml:space="preserve"> </v>
      </c>
      <c r="IF9" s="2" t="str">
        <f>IF(ISNUMBER(MINDS!IF$76),MINDS!IF$76," "&amp;MINDS!IF$76)</f>
        <v xml:space="preserve"> </v>
      </c>
      <c r="IG9" s="2" t="str">
        <f>IF(ISNUMBER(MINDS!IG$76),MINDS!IG$76," "&amp;MINDS!IG$76)</f>
        <v xml:space="preserve"> </v>
      </c>
      <c r="IH9" s="2" t="str">
        <f>IF(ISNUMBER(MINDS!IH$76),MINDS!IH$76," "&amp;MINDS!IH$76)</f>
        <v xml:space="preserve"> </v>
      </c>
      <c r="II9" s="2" t="str">
        <f>IF(ISNUMBER(MINDS!II$76),MINDS!II$76," "&amp;MINDS!II$76)</f>
        <v xml:space="preserve"> </v>
      </c>
      <c r="IJ9" s="2" t="str">
        <f>IF(ISNUMBER(MINDS!IJ$76),MINDS!IJ$76," "&amp;MINDS!IJ$76)</f>
        <v xml:space="preserve"> </v>
      </c>
      <c r="IK9" s="2" t="str">
        <f>IF(ISNUMBER(MINDS!IK$76),MINDS!IK$76," "&amp;MINDS!IK$76)</f>
        <v xml:space="preserve"> </v>
      </c>
      <c r="IL9" s="2" t="str">
        <f>IF(ISNUMBER(MINDS!IL$76),MINDS!IL$76," "&amp;MINDS!IL$76)</f>
        <v xml:space="preserve"> </v>
      </c>
      <c r="IM9" s="2" t="str">
        <f>IF(ISNUMBER(MINDS!IM$76),MINDS!IM$76," "&amp;MINDS!IM$76)</f>
        <v xml:space="preserve"> </v>
      </c>
      <c r="IN9" s="2" t="str">
        <f>IF(ISNUMBER(MINDS!IN$76),MINDS!IN$76," "&amp;MINDS!IN$76)</f>
        <v xml:space="preserve"> </v>
      </c>
      <c r="IO9" s="2" t="str">
        <f>IF(ISNUMBER(MINDS!IO$76),MINDS!IO$76," "&amp;MINDS!IO$76)</f>
        <v xml:space="preserve"> </v>
      </c>
      <c r="IP9" s="2" t="str">
        <f>IF(ISNUMBER(MINDS!IP$76),MINDS!IP$76," "&amp;MINDS!IP$76)</f>
        <v xml:space="preserve"> </v>
      </c>
      <c r="IQ9" s="2" t="str">
        <f>IF(ISNUMBER(MINDS!IQ$76),MINDS!IQ$76," "&amp;MINDS!IQ$76)</f>
        <v xml:space="preserve"> </v>
      </c>
      <c r="IR9" s="2" t="str">
        <f>IF(ISNUMBER(MINDS!IR$76),MINDS!IR$76," "&amp;MINDS!IR$76)</f>
        <v xml:space="preserve"> </v>
      </c>
      <c r="IS9" s="2" t="str">
        <f>IF(ISNUMBER(MINDS!IS$76),MINDS!IS$76," "&amp;MINDS!IS$76)</f>
        <v xml:space="preserve"> </v>
      </c>
      <c r="IT9" s="2" t="str">
        <f>IF(ISNUMBER(MINDS!IT$76),MINDS!IT$76," "&amp;MINDS!IT$76)</f>
        <v xml:space="preserve"> </v>
      </c>
      <c r="IU9" s="2" t="str">
        <f>IF(ISNUMBER(MINDS!IU$76),MINDS!IU$76," "&amp;MINDS!IU$76)</f>
        <v xml:space="preserve"> </v>
      </c>
      <c r="IV9" s="2" t="str">
        <f>IF(ISNUMBER(MINDS!IV$76),MINDS!IV$76," "&amp;MINDS!IV$76)</f>
        <v xml:space="preserve"> </v>
      </c>
    </row>
    <row r="10" spans="1:256" x14ac:dyDescent="0.2">
      <c r="A10" s="3" t="s">
        <v>27</v>
      </c>
      <c r="C10" s="2" t="str">
        <f>IF(C$4="","",MINDS!C$75)</f>
        <v/>
      </c>
      <c r="D10" s="2" t="str">
        <f>IF(D$4="","",MINDS!D$75)</f>
        <v/>
      </c>
      <c r="E10" s="2" t="str">
        <f>IF(E$4="","",MINDS!E$75)</f>
        <v/>
      </c>
      <c r="F10" s="2" t="str">
        <f>IF(F$4="","",MINDS!F$75)</f>
        <v/>
      </c>
      <c r="G10" s="2" t="str">
        <f>IF(G$4="","",MINDS!G$75)</f>
        <v/>
      </c>
      <c r="H10" s="2" t="str">
        <f>IF(H$4="","",MINDS!H$75)</f>
        <v/>
      </c>
      <c r="I10" s="2" t="str">
        <f>IF(I$4="","",MINDS!I$75)</f>
        <v/>
      </c>
      <c r="J10" s="2" t="str">
        <f>IF(J$4="","",MINDS!J$75)</f>
        <v/>
      </c>
      <c r="K10" s="2" t="str">
        <f>IF(K$4="","",MINDS!K$75)</f>
        <v/>
      </c>
      <c r="L10" s="2" t="str">
        <f>IF(L$4="","",MINDS!L$75)</f>
        <v/>
      </c>
      <c r="M10" s="2" t="str">
        <f>IF(M$4="","",MINDS!M$75)</f>
        <v/>
      </c>
      <c r="N10" s="2" t="str">
        <f>IF(N$4="","",MINDS!N$75)</f>
        <v/>
      </c>
      <c r="O10" s="2" t="str">
        <f>IF(O$4="","",MINDS!O$75)</f>
        <v/>
      </c>
      <c r="P10" s="2" t="str">
        <f>IF(P$4="","",MINDS!P$75)</f>
        <v/>
      </c>
      <c r="Q10" s="2" t="str">
        <f>IF(Q$4="","",MINDS!Q$75)</f>
        <v/>
      </c>
      <c r="R10" s="2" t="str">
        <f>IF(R$4="","",MINDS!R$75)</f>
        <v/>
      </c>
      <c r="S10" s="2" t="str">
        <f>IF(S$4="","",MINDS!S$75)</f>
        <v/>
      </c>
      <c r="T10" s="2" t="str">
        <f>IF(T$4="","",MINDS!T$75)</f>
        <v/>
      </c>
      <c r="U10" s="2" t="str">
        <f>IF(U$4="","",MINDS!U$75)</f>
        <v/>
      </c>
      <c r="V10" s="2" t="str">
        <f>IF(V$4="","",MINDS!V$75)</f>
        <v/>
      </c>
      <c r="W10" s="2" t="str">
        <f>IF(W$4="","",MINDS!W$75)</f>
        <v/>
      </c>
      <c r="X10" s="2" t="str">
        <f>IF(X$4="","",MINDS!X$75)</f>
        <v/>
      </c>
      <c r="Y10" s="2" t="str">
        <f>IF(Y$4="","",MINDS!Y$75)</f>
        <v/>
      </c>
      <c r="Z10" s="2" t="str">
        <f>IF(Z$4="","",MINDS!Z$75)</f>
        <v/>
      </c>
      <c r="AA10" s="2" t="str">
        <f>IF(AA$4="","",MINDS!AA$75)</f>
        <v/>
      </c>
      <c r="AB10" s="2" t="str">
        <f>IF(AB$4="","",MINDS!AB$75)</f>
        <v/>
      </c>
      <c r="AC10" s="2" t="str">
        <f>IF(AC$4="","",MINDS!AC$75)</f>
        <v/>
      </c>
      <c r="AD10" s="2" t="str">
        <f>IF(AD$4="","",MINDS!AD$75)</f>
        <v/>
      </c>
      <c r="AE10" s="2" t="str">
        <f>IF(AE$4="","",MINDS!AE$75)</f>
        <v/>
      </c>
      <c r="AF10" s="2" t="str">
        <f>IF(AF$4="","",MINDS!AF$75)</f>
        <v/>
      </c>
      <c r="AG10" s="2" t="str">
        <f>IF(AG$4="","",MINDS!AG$75)</f>
        <v/>
      </c>
      <c r="AH10" s="2" t="str">
        <f>IF(AH$4="","",MINDS!AH$75)</f>
        <v/>
      </c>
      <c r="AI10" s="2" t="str">
        <f>IF(AI$4="","",MINDS!AI$75)</f>
        <v/>
      </c>
      <c r="AJ10" s="2" t="str">
        <f>IF(AJ$4="","",MINDS!AJ$75)</f>
        <v/>
      </c>
      <c r="AK10" s="2" t="str">
        <f>IF(AK$4="","",MINDS!AK$75)</f>
        <v/>
      </c>
      <c r="AL10" s="2" t="str">
        <f>IF(AL$4="","",MINDS!AL$75)</f>
        <v/>
      </c>
      <c r="AM10" s="2" t="str">
        <f>IF(AM$4="","",MINDS!AM$75)</f>
        <v/>
      </c>
      <c r="AN10" s="2" t="str">
        <f>IF(AN$4="","",MINDS!AN$75)</f>
        <v/>
      </c>
      <c r="AO10" s="2" t="str">
        <f>IF(AO$4="","",MINDS!AO$75)</f>
        <v/>
      </c>
      <c r="AP10" s="2" t="str">
        <f>IF(AP$4="","",MINDS!AP$75)</f>
        <v/>
      </c>
      <c r="AQ10" s="2" t="str">
        <f>IF(AQ$4="","",MINDS!AQ$75)</f>
        <v/>
      </c>
      <c r="AR10" s="2" t="str">
        <f>IF(AR$4="","",MINDS!AR$75)</f>
        <v/>
      </c>
      <c r="AS10" s="2" t="str">
        <f>IF(AS$4="","",MINDS!AS$75)</f>
        <v/>
      </c>
      <c r="AT10" s="2" t="str">
        <f>IF(AT$4="","",MINDS!AT$75)</f>
        <v/>
      </c>
      <c r="AU10" s="2" t="str">
        <f>IF(AU$4="","",MINDS!AU$75)</f>
        <v/>
      </c>
      <c r="AV10" s="2" t="str">
        <f>IF(AV$4="","",MINDS!AV$75)</f>
        <v/>
      </c>
      <c r="AW10" s="2" t="str">
        <f>IF(AW$4="","",MINDS!AW$75)</f>
        <v/>
      </c>
      <c r="AX10" s="2" t="str">
        <f>IF(AX$4="","",MINDS!AX$75)</f>
        <v/>
      </c>
      <c r="AY10" s="2" t="str">
        <f>IF(AY$4="","",MINDS!AY$75)</f>
        <v/>
      </c>
      <c r="AZ10" s="2" t="str">
        <f>IF(AZ$4="","",MINDS!AZ$75)</f>
        <v/>
      </c>
      <c r="BA10" s="2" t="str">
        <f>IF(BA$4="","",MINDS!BA$75)</f>
        <v/>
      </c>
      <c r="BB10" s="2" t="str">
        <f>IF(BB$4="","",MINDS!BB$75)</f>
        <v/>
      </c>
      <c r="BC10" s="2" t="str">
        <f>IF(BC$4="","",MINDS!BC$75)</f>
        <v/>
      </c>
      <c r="BD10" s="2" t="str">
        <f>IF(BD$4="","",MINDS!BD$75)</f>
        <v/>
      </c>
      <c r="BE10" s="2" t="str">
        <f>IF(BE$4="","",MINDS!BE$75)</f>
        <v/>
      </c>
      <c r="BF10" s="2" t="str">
        <f>IF(BF$4="","",MINDS!BF$75)</f>
        <v/>
      </c>
      <c r="BG10" s="2" t="str">
        <f>IF(BG$4="","",MINDS!BG$75)</f>
        <v/>
      </c>
      <c r="BH10" s="2" t="str">
        <f>IF(BH$4="","",MINDS!BH$75)</f>
        <v/>
      </c>
      <c r="BI10" s="2" t="str">
        <f>IF(BI$4="","",MINDS!BI$75)</f>
        <v/>
      </c>
      <c r="BJ10" s="2" t="str">
        <f>IF(BJ$4="","",MINDS!BJ$75)</f>
        <v/>
      </c>
      <c r="BK10" s="2" t="str">
        <f>IF(BK$4="","",MINDS!BK$75)</f>
        <v/>
      </c>
      <c r="BL10" s="2" t="str">
        <f>IF(BL$4="","",MINDS!BL$75)</f>
        <v/>
      </c>
      <c r="BM10" s="2" t="str">
        <f>IF(BM$4="","",MINDS!BM$75)</f>
        <v/>
      </c>
      <c r="BN10" s="2" t="str">
        <f>IF(BN$4="","",MINDS!BN$75)</f>
        <v/>
      </c>
      <c r="BO10" s="2" t="str">
        <f>IF(BO$4="","",MINDS!BO$75)</f>
        <v/>
      </c>
      <c r="BP10" s="2" t="str">
        <f>IF(BP$4="","",MINDS!BP$75)</f>
        <v/>
      </c>
      <c r="BQ10" s="2" t="str">
        <f>IF(BQ$4="","",MINDS!BQ$75)</f>
        <v/>
      </c>
      <c r="BR10" s="2" t="str">
        <f>IF(BR$4="","",MINDS!BR$75)</f>
        <v/>
      </c>
      <c r="BS10" s="2" t="str">
        <f>IF(BS$4="","",MINDS!BS$75)</f>
        <v/>
      </c>
      <c r="BT10" s="2" t="str">
        <f>IF(BT$4="","",MINDS!BT$75)</f>
        <v/>
      </c>
      <c r="BU10" s="2" t="str">
        <f>IF(BU$4="","",MINDS!BU$75)</f>
        <v/>
      </c>
      <c r="BV10" s="2" t="str">
        <f>IF(BV$4="","",MINDS!BV$75)</f>
        <v/>
      </c>
      <c r="BW10" s="2" t="str">
        <f>IF(BW$4="","",MINDS!BW$75)</f>
        <v/>
      </c>
      <c r="BX10" s="2" t="str">
        <f>IF(BX$4="","",MINDS!BX$75)</f>
        <v/>
      </c>
      <c r="BY10" s="2" t="str">
        <f>IF(BY$4="","",MINDS!BY$75)</f>
        <v/>
      </c>
      <c r="BZ10" s="2" t="str">
        <f>IF(BZ$4="","",MINDS!BZ$75)</f>
        <v/>
      </c>
      <c r="CA10" s="2" t="str">
        <f>IF(CA$4="","",MINDS!CA$75)</f>
        <v/>
      </c>
      <c r="CB10" s="2" t="str">
        <f>IF(CB$4="","",MINDS!CB$75)</f>
        <v/>
      </c>
      <c r="CC10" s="2" t="str">
        <f>IF(CC$4="","",MINDS!CC$75)</f>
        <v/>
      </c>
      <c r="CD10" s="2" t="str">
        <f>IF(CD$4="","",MINDS!CD$75)</f>
        <v/>
      </c>
      <c r="CE10" s="2" t="str">
        <f>IF(CE$4="","",MINDS!CE$75)</f>
        <v/>
      </c>
      <c r="CF10" s="2" t="str">
        <f>IF(CF$4="","",MINDS!CF$75)</f>
        <v/>
      </c>
      <c r="CG10" s="2" t="str">
        <f>IF(CG$4="","",MINDS!CG$75)</f>
        <v/>
      </c>
      <c r="CH10" s="2" t="str">
        <f>IF(CH$4="","",MINDS!CH$75)</f>
        <v/>
      </c>
      <c r="CI10" s="2" t="str">
        <f>IF(CI$4="","",MINDS!CI$75)</f>
        <v/>
      </c>
      <c r="CJ10" s="2" t="str">
        <f>IF(CJ$4="","",MINDS!CJ$75)</f>
        <v/>
      </c>
      <c r="CK10" s="2" t="str">
        <f>IF(CK$4="","",MINDS!CK$75)</f>
        <v/>
      </c>
      <c r="CL10" s="2" t="str">
        <f>IF(CL$4="","",MINDS!CL$75)</f>
        <v/>
      </c>
      <c r="CM10" s="2" t="str">
        <f>IF(CM$4="","",MINDS!CM$75)</f>
        <v/>
      </c>
      <c r="CN10" s="2" t="str">
        <f>IF(CN$4="","",MINDS!CN$75)</f>
        <v/>
      </c>
      <c r="CO10" s="2" t="str">
        <f>IF(CO$4="","",MINDS!CO$75)</f>
        <v/>
      </c>
      <c r="CP10" s="2" t="str">
        <f>IF(CP$4="","",MINDS!CP$75)</f>
        <v/>
      </c>
      <c r="CQ10" s="2" t="str">
        <f>IF(CQ$4="","",MINDS!CQ$75)</f>
        <v/>
      </c>
      <c r="CR10" s="2" t="str">
        <f>IF(CR$4="","",MINDS!CR$75)</f>
        <v/>
      </c>
      <c r="CS10" s="2" t="str">
        <f>IF(CS$4="","",MINDS!CS$75)</f>
        <v/>
      </c>
      <c r="CT10" s="2" t="str">
        <f>IF(CT$4="","",MINDS!CT$75)</f>
        <v/>
      </c>
      <c r="CU10" s="2" t="str">
        <f>IF(CU$4="","",MINDS!CU$75)</f>
        <v/>
      </c>
      <c r="CV10" s="2" t="str">
        <f>IF(CV$4="","",MINDS!CV$75)</f>
        <v/>
      </c>
      <c r="CW10" s="2" t="str">
        <f>IF(CW$4="","",MINDS!CW$75)</f>
        <v/>
      </c>
      <c r="CX10" s="2" t="str">
        <f>IF(CX$4="","",MINDS!CX$75)</f>
        <v/>
      </c>
      <c r="CY10" s="2" t="str">
        <f>IF(CY$4="","",MINDS!CY$75)</f>
        <v/>
      </c>
      <c r="CZ10" s="2" t="str">
        <f>IF(CZ$4="","",MINDS!CZ$75)</f>
        <v/>
      </c>
      <c r="DA10" s="2" t="str">
        <f>IF(DA$4="","",MINDS!DA$75)</f>
        <v/>
      </c>
      <c r="DB10" s="2" t="str">
        <f>IF(DB$4="","",MINDS!DB$75)</f>
        <v/>
      </c>
      <c r="DC10" s="2" t="str">
        <f>IF(DC$4="","",MINDS!DC$75)</f>
        <v/>
      </c>
      <c r="DD10" s="2" t="str">
        <f>IF(DD$4="","",MINDS!DD$75)</f>
        <v/>
      </c>
      <c r="DE10" s="2" t="str">
        <f>IF(DE$4="","",MINDS!DE$75)</f>
        <v/>
      </c>
      <c r="DF10" s="2" t="str">
        <f>IF(DF$4="","",MINDS!DF$75)</f>
        <v/>
      </c>
      <c r="DG10" s="2" t="str">
        <f>IF(DG$4="","",MINDS!DG$75)</f>
        <v/>
      </c>
      <c r="DH10" s="2" t="str">
        <f>IF(DH$4="","",MINDS!DH$75)</f>
        <v/>
      </c>
      <c r="DI10" s="2" t="str">
        <f>IF(DI$4="","",MINDS!DI$75)</f>
        <v/>
      </c>
      <c r="DJ10" s="2" t="str">
        <f>IF(DJ$4="","",MINDS!DJ$75)</f>
        <v/>
      </c>
      <c r="DK10" s="2" t="str">
        <f>IF(DK$4="","",MINDS!DK$75)</f>
        <v/>
      </c>
      <c r="DL10" s="2" t="str">
        <f>IF(DL$4="","",MINDS!DL$75)</f>
        <v/>
      </c>
      <c r="DM10" s="2" t="str">
        <f>IF(DM$4="","",MINDS!DM$75)</f>
        <v/>
      </c>
      <c r="DN10" s="2" t="str">
        <f>IF(DN$4="","",MINDS!DN$75)</f>
        <v/>
      </c>
      <c r="DO10" s="2" t="str">
        <f>IF(DO$4="","",MINDS!DO$75)</f>
        <v/>
      </c>
      <c r="DP10" s="2" t="str">
        <f>IF(DP$4="","",MINDS!DP$75)</f>
        <v/>
      </c>
      <c r="DQ10" s="2" t="str">
        <f>IF(DQ$4="","",MINDS!DQ$75)</f>
        <v/>
      </c>
      <c r="DR10" s="2" t="str">
        <f>IF(DR$4="","",MINDS!DR$75)</f>
        <v/>
      </c>
      <c r="DS10" s="2" t="str">
        <f>IF(DS$4="","",MINDS!DS$75)</f>
        <v/>
      </c>
      <c r="DT10" s="2" t="str">
        <f>IF(DT$4="","",MINDS!DT$75)</f>
        <v/>
      </c>
      <c r="DU10" s="2" t="str">
        <f>IF(DU$4="","",MINDS!DU$75)</f>
        <v/>
      </c>
      <c r="DV10" s="2" t="str">
        <f>IF(DV$4="","",MINDS!DV$75)</f>
        <v/>
      </c>
      <c r="DW10" s="2" t="str">
        <f>IF(DW$4="","",MINDS!DW$75)</f>
        <v/>
      </c>
      <c r="DX10" s="2" t="str">
        <f>IF(DX$4="","",MINDS!DX$75)</f>
        <v/>
      </c>
      <c r="DY10" s="2" t="str">
        <f>IF(DY$4="","",MINDS!DY$75)</f>
        <v/>
      </c>
      <c r="DZ10" s="2" t="str">
        <f>IF(DZ$4="","",MINDS!DZ$75)</f>
        <v/>
      </c>
      <c r="EA10" s="2" t="str">
        <f>IF(EA$4="","",MINDS!EA$75)</f>
        <v/>
      </c>
      <c r="EB10" s="2" t="str">
        <f>IF(EB$4="","",MINDS!EB$75)</f>
        <v/>
      </c>
      <c r="EC10" s="2" t="str">
        <f>IF(EC$4="","",MINDS!EC$75)</f>
        <v/>
      </c>
      <c r="ED10" s="2" t="str">
        <f>IF(ED$4="","",MINDS!ED$75)</f>
        <v/>
      </c>
      <c r="EE10" s="2" t="str">
        <f>IF(EE$4="","",MINDS!EE$75)</f>
        <v/>
      </c>
      <c r="EF10" s="2" t="str">
        <f>IF(EF$4="","",MINDS!EF$75)</f>
        <v/>
      </c>
      <c r="EG10" s="2" t="str">
        <f>IF(EG$4="","",MINDS!EG$75)</f>
        <v/>
      </c>
      <c r="EH10" s="2" t="str">
        <f>IF(EH$4="","",MINDS!EH$75)</f>
        <v/>
      </c>
      <c r="EI10" s="2" t="str">
        <f>IF(EI$4="","",MINDS!EI$75)</f>
        <v/>
      </c>
      <c r="EJ10" s="2" t="str">
        <f>IF(EJ$4="","",MINDS!EJ$75)</f>
        <v/>
      </c>
      <c r="EK10" s="2" t="str">
        <f>IF(EK$4="","",MINDS!EK$75)</f>
        <v/>
      </c>
      <c r="EL10" s="2" t="str">
        <f>IF(EL$4="","",MINDS!EL$75)</f>
        <v/>
      </c>
      <c r="EM10" s="2" t="str">
        <f>IF(EM$4="","",MINDS!EM$75)</f>
        <v/>
      </c>
      <c r="EN10" s="2" t="str">
        <f>IF(EN$4="","",MINDS!EN$75)</f>
        <v/>
      </c>
      <c r="EO10" s="2" t="str">
        <f>IF(EO$4="","",MINDS!EO$75)</f>
        <v/>
      </c>
      <c r="EP10" s="2" t="str">
        <f>IF(EP$4="","",MINDS!EP$75)</f>
        <v/>
      </c>
      <c r="EQ10" s="2" t="str">
        <f>IF(EQ$4="","",MINDS!EQ$75)</f>
        <v/>
      </c>
      <c r="ER10" s="2" t="str">
        <f>IF(ER$4="","",MINDS!ER$75)</f>
        <v/>
      </c>
      <c r="ES10" s="2" t="str">
        <f>IF(ES$4="","",MINDS!ES$75)</f>
        <v/>
      </c>
      <c r="ET10" s="2" t="str">
        <f>IF(ET$4="","",MINDS!ET$75)</f>
        <v/>
      </c>
      <c r="EU10" s="2" t="str">
        <f>IF(EU$4="","",MINDS!EU$75)</f>
        <v/>
      </c>
      <c r="EV10" s="2" t="str">
        <f>IF(EV$4="","",MINDS!EV$75)</f>
        <v/>
      </c>
      <c r="EW10" s="2" t="str">
        <f>IF(EW$4="","",MINDS!EW$75)</f>
        <v/>
      </c>
      <c r="EX10" s="2" t="str">
        <f>IF(EX$4="","",MINDS!EX$75)</f>
        <v/>
      </c>
      <c r="EY10" s="2" t="str">
        <f>IF(EY$4="","",MINDS!EY$75)</f>
        <v/>
      </c>
      <c r="EZ10" s="2" t="str">
        <f>IF(EZ$4="","",MINDS!EZ$75)</f>
        <v/>
      </c>
      <c r="FA10" s="2" t="str">
        <f>IF(FA$4="","",MINDS!FA$75)</f>
        <v/>
      </c>
      <c r="FB10" s="2" t="str">
        <f>IF(FB$4="","",MINDS!FB$75)</f>
        <v/>
      </c>
      <c r="FC10" s="2" t="str">
        <f>IF(FC$4="","",MINDS!FC$75)</f>
        <v/>
      </c>
      <c r="FD10" s="2" t="str">
        <f>IF(FD$4="","",MINDS!FD$75)</f>
        <v/>
      </c>
      <c r="FE10" s="2" t="str">
        <f>IF(FE$4="","",MINDS!FE$75)</f>
        <v/>
      </c>
      <c r="FF10" s="2" t="str">
        <f>IF(FF$4="","",MINDS!FF$75)</f>
        <v/>
      </c>
      <c r="FG10" s="2" t="str">
        <f>IF(FG$4="","",MINDS!FG$75)</f>
        <v/>
      </c>
      <c r="FH10" s="2" t="str">
        <f>IF(FH$4="","",MINDS!FH$75)</f>
        <v/>
      </c>
      <c r="FI10" s="2" t="str">
        <f>IF(FI$4="","",MINDS!FI$75)</f>
        <v/>
      </c>
      <c r="FJ10" s="2" t="str">
        <f>IF(FJ$4="","",MINDS!FJ$75)</f>
        <v/>
      </c>
      <c r="FK10" s="2" t="str">
        <f>IF(FK$4="","",MINDS!FK$75)</f>
        <v/>
      </c>
      <c r="FL10" s="2" t="str">
        <f>IF(FL$4="","",MINDS!FL$75)</f>
        <v/>
      </c>
      <c r="FM10" s="2" t="str">
        <f>IF(FM$4="","",MINDS!FM$75)</f>
        <v/>
      </c>
      <c r="FN10" s="2" t="str">
        <f>IF(FN$4="","",MINDS!FN$75)</f>
        <v/>
      </c>
      <c r="FO10" s="2" t="str">
        <f>IF(FO$4="","",MINDS!FO$75)</f>
        <v/>
      </c>
      <c r="FP10" s="2" t="str">
        <f>IF(FP$4="","",MINDS!FP$75)</f>
        <v/>
      </c>
      <c r="FQ10" s="2" t="str">
        <f>IF(FQ$4="","",MINDS!FQ$75)</f>
        <v/>
      </c>
      <c r="FR10" s="2" t="str">
        <f>IF(FR$4="","",MINDS!FR$75)</f>
        <v/>
      </c>
      <c r="FS10" s="2" t="str">
        <f>IF(FS$4="","",MINDS!FS$75)</f>
        <v/>
      </c>
      <c r="FT10" s="2" t="str">
        <f>IF(FT$4="","",MINDS!FT$75)</f>
        <v/>
      </c>
      <c r="FU10" s="2" t="str">
        <f>IF(FU$4="","",MINDS!FU$75)</f>
        <v/>
      </c>
      <c r="FV10" s="2" t="str">
        <f>IF(FV$4="","",MINDS!FV$75)</f>
        <v/>
      </c>
      <c r="FW10" s="2" t="str">
        <f>IF(FW$4="","",MINDS!FW$75)</f>
        <v/>
      </c>
      <c r="FX10" s="2" t="str">
        <f>IF(FX$4="","",MINDS!FX$75)</f>
        <v/>
      </c>
      <c r="FY10" s="2" t="str">
        <f>IF(FY$4="","",MINDS!FY$75)</f>
        <v/>
      </c>
      <c r="FZ10" s="2" t="str">
        <f>IF(FZ$4="","",MINDS!FZ$75)</f>
        <v/>
      </c>
      <c r="GA10" s="2" t="str">
        <f>IF(GA$4="","",MINDS!GA$75)</f>
        <v/>
      </c>
      <c r="GB10" s="2" t="str">
        <f>IF(GB$4="","",MINDS!GB$75)</f>
        <v/>
      </c>
      <c r="GC10" s="2" t="str">
        <f>IF(GC$4="","",MINDS!GC$75)</f>
        <v/>
      </c>
      <c r="GD10" s="2" t="str">
        <f>IF(GD$4="","",MINDS!GD$75)</f>
        <v/>
      </c>
      <c r="GE10" s="2" t="str">
        <f>IF(GE$4="","",MINDS!GE$75)</f>
        <v/>
      </c>
      <c r="GF10" s="2" t="str">
        <f>IF(GF$4="","",MINDS!GF$75)</f>
        <v/>
      </c>
      <c r="GG10" s="2" t="str">
        <f>IF(GG$4="","",MINDS!GG$75)</f>
        <v/>
      </c>
      <c r="GH10" s="2" t="str">
        <f>IF(GH$4="","",MINDS!GH$75)</f>
        <v/>
      </c>
      <c r="GI10" s="2" t="str">
        <f>IF(GI$4="","",MINDS!GI$75)</f>
        <v/>
      </c>
      <c r="GJ10" s="2" t="str">
        <f>IF(GJ$4="","",MINDS!GJ$75)</f>
        <v/>
      </c>
      <c r="GK10" s="2" t="str">
        <f>IF(GK$4="","",MINDS!GK$75)</f>
        <v/>
      </c>
      <c r="GL10" s="2" t="str">
        <f>IF(GL$4="","",MINDS!GL$75)</f>
        <v/>
      </c>
      <c r="GM10" s="2" t="str">
        <f>IF(GM$4="","",MINDS!GM$75)</f>
        <v/>
      </c>
      <c r="GN10" s="2" t="str">
        <f>IF(GN$4="","",MINDS!GN$75)</f>
        <v/>
      </c>
      <c r="GO10" s="2" t="str">
        <f>IF(GO$4="","",MINDS!GO$75)</f>
        <v/>
      </c>
      <c r="GP10" s="2" t="str">
        <f>IF(GP$4="","",MINDS!GP$75)</f>
        <v/>
      </c>
      <c r="GQ10" s="2" t="str">
        <f>IF(GQ$4="","",MINDS!GQ$75)</f>
        <v/>
      </c>
      <c r="GR10" s="2" t="str">
        <f>IF(GR$4="","",MINDS!GR$75)</f>
        <v/>
      </c>
      <c r="GS10" s="2" t="str">
        <f>IF(GS$4="","",MINDS!GS$75)</f>
        <v/>
      </c>
      <c r="GT10" s="2" t="str">
        <f>IF(GT$4="","",MINDS!GT$75)</f>
        <v/>
      </c>
      <c r="GU10" s="2" t="str">
        <f>IF(GU$4="","",MINDS!GU$75)</f>
        <v/>
      </c>
      <c r="GV10" s="2" t="str">
        <f>IF(GV$4="","",MINDS!GV$75)</f>
        <v/>
      </c>
      <c r="GW10" s="2" t="str">
        <f>IF(GW$4="","",MINDS!GW$75)</f>
        <v/>
      </c>
      <c r="GX10" s="2" t="str">
        <f>IF(GX$4="","",MINDS!GX$75)</f>
        <v/>
      </c>
      <c r="GY10" s="2" t="str">
        <f>IF(GY$4="","",MINDS!GY$75)</f>
        <v/>
      </c>
      <c r="GZ10" s="2" t="str">
        <f>IF(GZ$4="","",MINDS!GZ$75)</f>
        <v/>
      </c>
      <c r="HA10" s="2" t="str">
        <f>IF(HA$4="","",MINDS!HA$75)</f>
        <v/>
      </c>
      <c r="HB10" s="2" t="str">
        <f>IF(HB$4="","",MINDS!HB$75)</f>
        <v/>
      </c>
      <c r="HC10" s="2" t="str">
        <f>IF(HC$4="","",MINDS!HC$75)</f>
        <v/>
      </c>
      <c r="HD10" s="2" t="str">
        <f>IF(HD$4="","",MINDS!HD$75)</f>
        <v/>
      </c>
      <c r="HE10" s="2" t="str">
        <f>IF(HE$4="","",MINDS!HE$75)</f>
        <v/>
      </c>
      <c r="HF10" s="2" t="str">
        <f>IF(HF$4="","",MINDS!HF$75)</f>
        <v/>
      </c>
      <c r="HG10" s="2" t="str">
        <f>IF(HG$4="","",MINDS!HG$75)</f>
        <v/>
      </c>
      <c r="HH10" s="2" t="str">
        <f>IF(HH$4="","",MINDS!HH$75)</f>
        <v/>
      </c>
      <c r="HI10" s="2" t="str">
        <f>IF(HI$4="","",MINDS!HI$75)</f>
        <v/>
      </c>
      <c r="HJ10" s="2" t="str">
        <f>IF(HJ$4="","",MINDS!HJ$75)</f>
        <v/>
      </c>
      <c r="HK10" s="2" t="str">
        <f>IF(HK$4="","",MINDS!HK$75)</f>
        <v/>
      </c>
      <c r="HL10" s="2" t="str">
        <f>IF(HL$4="","",MINDS!HL$75)</f>
        <v/>
      </c>
      <c r="HM10" s="2" t="str">
        <f>IF(HM$4="","",MINDS!HM$75)</f>
        <v/>
      </c>
      <c r="HN10" s="2" t="str">
        <f>IF(HN$4="","",MINDS!HN$75)</f>
        <v/>
      </c>
      <c r="HO10" s="2" t="str">
        <f>IF(HO$4="","",MINDS!HO$75)</f>
        <v/>
      </c>
      <c r="HP10" s="2" t="str">
        <f>IF(HP$4="","",MINDS!HP$75)</f>
        <v/>
      </c>
      <c r="HQ10" s="2" t="str">
        <f>IF(HQ$4="","",MINDS!HQ$75)</f>
        <v/>
      </c>
      <c r="HR10" s="2" t="str">
        <f>IF(HR$4="","",MINDS!HR$75)</f>
        <v/>
      </c>
      <c r="HS10" s="2" t="str">
        <f>IF(HS$4="","",MINDS!HS$75)</f>
        <v/>
      </c>
      <c r="HT10" s="2" t="str">
        <f>IF(HT$4="","",MINDS!HT$75)</f>
        <v/>
      </c>
      <c r="HU10" s="2" t="str">
        <f>IF(HU$4="","",MINDS!HU$75)</f>
        <v/>
      </c>
      <c r="HV10" s="2" t="str">
        <f>IF(HV$4="","",MINDS!HV$75)</f>
        <v/>
      </c>
      <c r="HW10" s="2" t="str">
        <f>IF(HW$4="","",MINDS!HW$75)</f>
        <v/>
      </c>
      <c r="HX10" s="2" t="str">
        <f>IF(HX$4="","",MINDS!HX$75)</f>
        <v/>
      </c>
      <c r="HY10" s="2" t="str">
        <f>IF(HY$4="","",MINDS!HY$75)</f>
        <v/>
      </c>
      <c r="HZ10" s="2" t="str">
        <f>IF(HZ$4="","",MINDS!HZ$75)</f>
        <v/>
      </c>
      <c r="IA10" s="2" t="str">
        <f>IF(IA$4="","",MINDS!IA$75)</f>
        <v/>
      </c>
      <c r="IB10" s="2" t="str">
        <f>IF(IB$4="","",MINDS!IB$75)</f>
        <v/>
      </c>
      <c r="IC10" s="2" t="str">
        <f>IF(IC$4="","",MINDS!IC$75)</f>
        <v/>
      </c>
      <c r="ID10" s="2" t="str">
        <f>IF(ID$4="","",MINDS!ID$75)</f>
        <v/>
      </c>
      <c r="IE10" s="2" t="str">
        <f>IF(IE$4="","",MINDS!IE$75)</f>
        <v/>
      </c>
      <c r="IF10" s="2" t="str">
        <f>IF(IF$4="","",MINDS!IF$75)</f>
        <v/>
      </c>
      <c r="IG10" s="2" t="str">
        <f>IF(IG$4="","",MINDS!IG$75)</f>
        <v/>
      </c>
      <c r="IH10" s="2" t="str">
        <f>IF(IH$4="","",MINDS!IH$75)</f>
        <v/>
      </c>
      <c r="II10" s="2" t="str">
        <f>IF(II$4="","",MINDS!II$75)</f>
        <v/>
      </c>
      <c r="IJ10" s="2" t="str">
        <f>IF(IJ$4="","",MINDS!IJ$75)</f>
        <v/>
      </c>
      <c r="IK10" s="2" t="str">
        <f>IF(IK$4="","",MINDS!IK$75)</f>
        <v/>
      </c>
      <c r="IL10" s="2" t="str">
        <f>IF(IL$4="","",MINDS!IL$75)</f>
        <v/>
      </c>
      <c r="IM10" s="2" t="str">
        <f>IF(IM$4="","",MINDS!IM$75)</f>
        <v/>
      </c>
      <c r="IN10" s="2" t="str">
        <f>IF(IN$4="","",MINDS!IN$75)</f>
        <v/>
      </c>
      <c r="IO10" s="2" t="str">
        <f>IF(IO$4="","",MINDS!IO$75)</f>
        <v/>
      </c>
      <c r="IP10" s="2" t="str">
        <f>IF(IP$4="","",MINDS!IP$75)</f>
        <v/>
      </c>
      <c r="IQ10" s="2" t="str">
        <f>IF(IQ$4="","",MINDS!IQ$75)</f>
        <v/>
      </c>
      <c r="IR10" s="2" t="str">
        <f>IF(IR$4="","",MINDS!IR$75)</f>
        <v/>
      </c>
      <c r="IS10" s="2" t="str">
        <f>IF(IS$4="","",MINDS!IS$75)</f>
        <v/>
      </c>
      <c r="IT10" s="2" t="str">
        <f>IF(IT$4="","",MINDS!IT$75)</f>
        <v/>
      </c>
      <c r="IU10" s="2" t="str">
        <f>IF(IU$4="","",MINDS!IU$75)</f>
        <v/>
      </c>
      <c r="IV10" s="2" t="str">
        <f>IF(IV$4="","",MINDS!IV$75)</f>
        <v/>
      </c>
    </row>
    <row r="11" spans="1:256" x14ac:dyDescent="0.2">
      <c r="A11" s="3" t="s">
        <v>31</v>
      </c>
    </row>
    <row r="12" spans="1:256" x14ac:dyDescent="0.2">
      <c r="A12" s="3" t="s">
        <v>32</v>
      </c>
    </row>
    <row r="13" spans="1:256" x14ac:dyDescent="0.2">
      <c r="A13" s="5" t="s">
        <v>28</v>
      </c>
      <c r="C13" s="2" t="str">
        <f>IF(MINDS!C$83&lt;&gt;"",MINDS!C$83,"")</f>
        <v/>
      </c>
      <c r="D13" s="2" t="str">
        <f>IF(MINDS!D$83&lt;&gt;"",MINDS!D$83,"")</f>
        <v/>
      </c>
      <c r="E13" s="2" t="str">
        <f>IF(MINDS!E$83&lt;&gt;"",MINDS!E$83,"")</f>
        <v/>
      </c>
      <c r="F13" s="2" t="str">
        <f>IF(MINDS!F$83&lt;&gt;"",MINDS!F$83,"")</f>
        <v/>
      </c>
      <c r="G13" s="2" t="str">
        <f>IF(MINDS!G$83&lt;&gt;"",MINDS!G$83,"")</f>
        <v/>
      </c>
      <c r="H13" s="2" t="str">
        <f>IF(MINDS!H$83&lt;&gt;"",MINDS!H$83,"")</f>
        <v/>
      </c>
      <c r="I13" s="2" t="str">
        <f>IF(MINDS!I$83&lt;&gt;"",MINDS!I$83,"")</f>
        <v/>
      </c>
      <c r="J13" s="2" t="str">
        <f>IF(MINDS!J$83&lt;&gt;"",MINDS!J$83,"")</f>
        <v/>
      </c>
      <c r="K13" s="2" t="str">
        <f>IF(MINDS!K$83&lt;&gt;"",MINDS!K$83,"")</f>
        <v/>
      </c>
      <c r="L13" s="2" t="str">
        <f>IF(MINDS!L$83&lt;&gt;"",MINDS!L$83,"")</f>
        <v/>
      </c>
      <c r="M13" s="2" t="str">
        <f>IF(MINDS!M$83&lt;&gt;"",MINDS!M$83,"")</f>
        <v/>
      </c>
      <c r="N13" s="2" t="str">
        <f>IF(MINDS!N$83&lt;&gt;"",MINDS!N$83,"")</f>
        <v/>
      </c>
      <c r="O13" s="2" t="str">
        <f>IF(MINDS!O$83&lt;&gt;"",MINDS!O$83,"")</f>
        <v/>
      </c>
      <c r="P13" s="2" t="str">
        <f>IF(MINDS!P$83&lt;&gt;"",MINDS!P$83,"")</f>
        <v/>
      </c>
      <c r="Q13" s="2" t="str">
        <f>IF(MINDS!Q$83&lt;&gt;"",MINDS!Q$83,"")</f>
        <v/>
      </c>
      <c r="R13" s="2" t="str">
        <f>IF(MINDS!R$83&lt;&gt;"",MINDS!R$83,"")</f>
        <v/>
      </c>
      <c r="S13" s="2" t="str">
        <f>IF(MINDS!S$83&lt;&gt;"",MINDS!S$83,"")</f>
        <v/>
      </c>
      <c r="T13" s="2" t="str">
        <f>IF(MINDS!T$83&lt;&gt;"",MINDS!T$83,"")</f>
        <v/>
      </c>
      <c r="U13" s="2" t="str">
        <f>IF(MINDS!U$83&lt;&gt;"",MINDS!U$83,"")</f>
        <v/>
      </c>
      <c r="V13" s="2" t="str">
        <f>IF(MINDS!V$83&lt;&gt;"",MINDS!V$83,"")</f>
        <v/>
      </c>
      <c r="W13" s="2" t="str">
        <f>IF(MINDS!W$83&lt;&gt;"",MINDS!W$83,"")</f>
        <v/>
      </c>
      <c r="X13" s="2" t="str">
        <f>IF(MINDS!X$83&lt;&gt;"",MINDS!X$83,"")</f>
        <v/>
      </c>
      <c r="Y13" s="2" t="str">
        <f>IF(MINDS!Y$83&lt;&gt;"",MINDS!Y$83,"")</f>
        <v/>
      </c>
      <c r="Z13" s="2" t="str">
        <f>IF(MINDS!Z$83&lt;&gt;"",MINDS!Z$83,"")</f>
        <v/>
      </c>
      <c r="AA13" s="2" t="str">
        <f>IF(MINDS!AA$83&lt;&gt;"",MINDS!AA$83,"")</f>
        <v/>
      </c>
      <c r="AB13" s="2" t="str">
        <f>IF(MINDS!AB$83&lt;&gt;"",MINDS!AB$83,"")</f>
        <v/>
      </c>
      <c r="AC13" s="2" t="str">
        <f>IF(MINDS!AC$83&lt;&gt;"",MINDS!AC$83,"")</f>
        <v/>
      </c>
      <c r="AD13" s="2" t="str">
        <f>IF(MINDS!AD$83&lt;&gt;"",MINDS!AD$83,"")</f>
        <v/>
      </c>
      <c r="AE13" s="2" t="str">
        <f>IF(MINDS!AE$83&lt;&gt;"",MINDS!AE$83,"")</f>
        <v/>
      </c>
      <c r="AF13" s="2" t="str">
        <f>IF(MINDS!AF$83&lt;&gt;"",MINDS!AF$83,"")</f>
        <v/>
      </c>
      <c r="AG13" s="2" t="str">
        <f>IF(MINDS!AG$83&lt;&gt;"",MINDS!AG$83,"")</f>
        <v/>
      </c>
      <c r="AH13" s="2" t="str">
        <f>IF(MINDS!AH$83&lt;&gt;"",MINDS!AH$83,"")</f>
        <v/>
      </c>
      <c r="AI13" s="2" t="str">
        <f>IF(MINDS!AI$83&lt;&gt;"",MINDS!AI$83,"")</f>
        <v/>
      </c>
      <c r="AJ13" s="2" t="str">
        <f>IF(MINDS!AJ$83&lt;&gt;"",MINDS!AJ$83,"")</f>
        <v/>
      </c>
      <c r="AK13" s="2" t="str">
        <f>IF(MINDS!AK$83&lt;&gt;"",MINDS!AK$83,"")</f>
        <v/>
      </c>
      <c r="AL13" s="2" t="str">
        <f>IF(MINDS!AL$83&lt;&gt;"",MINDS!AL$83,"")</f>
        <v/>
      </c>
      <c r="AM13" s="2" t="str">
        <f>IF(MINDS!AM$83&lt;&gt;"",MINDS!AM$83,"")</f>
        <v/>
      </c>
      <c r="AN13" s="2" t="str">
        <f>IF(MINDS!AN$83&lt;&gt;"",MINDS!AN$83,"")</f>
        <v/>
      </c>
      <c r="AO13" s="2" t="str">
        <f>IF(MINDS!AO$83&lt;&gt;"",MINDS!AO$83,"")</f>
        <v/>
      </c>
      <c r="AP13" s="2" t="str">
        <f>IF(MINDS!AP$83&lt;&gt;"",MINDS!AP$83,"")</f>
        <v/>
      </c>
      <c r="AQ13" s="2" t="str">
        <f>IF(MINDS!AQ$83&lt;&gt;"",MINDS!AQ$83,"")</f>
        <v/>
      </c>
      <c r="AR13" s="2" t="str">
        <f>IF(MINDS!AR$83&lt;&gt;"",MINDS!AR$83,"")</f>
        <v/>
      </c>
      <c r="AS13" s="2" t="str">
        <f>IF(MINDS!AS$83&lt;&gt;"",MINDS!AS$83,"")</f>
        <v/>
      </c>
      <c r="AT13" s="2" t="str">
        <f>IF(MINDS!AT$83&lt;&gt;"",MINDS!AT$83,"")</f>
        <v/>
      </c>
      <c r="AU13" s="2" t="str">
        <f>IF(MINDS!AU$83&lt;&gt;"",MINDS!AU$83,"")</f>
        <v/>
      </c>
      <c r="AV13" s="2" t="str">
        <f>IF(MINDS!AV$83&lt;&gt;"",MINDS!AV$83,"")</f>
        <v/>
      </c>
      <c r="AW13" s="2" t="str">
        <f>IF(MINDS!AW$83&lt;&gt;"",MINDS!AW$83,"")</f>
        <v/>
      </c>
      <c r="AX13" s="2" t="str">
        <f>IF(MINDS!AX$83&lt;&gt;"",MINDS!AX$83,"")</f>
        <v/>
      </c>
      <c r="AY13" s="2" t="str">
        <f>IF(MINDS!AY$83&lt;&gt;"",MINDS!AY$83,"")</f>
        <v/>
      </c>
      <c r="AZ13" s="2" t="str">
        <f>IF(MINDS!AZ$83&lt;&gt;"",MINDS!AZ$83,"")</f>
        <v/>
      </c>
      <c r="BA13" s="2" t="str">
        <f>IF(MINDS!BA$83&lt;&gt;"",MINDS!BA$83,"")</f>
        <v/>
      </c>
      <c r="BB13" s="2" t="str">
        <f>IF(MINDS!BB$83&lt;&gt;"",MINDS!BB$83,"")</f>
        <v/>
      </c>
      <c r="BC13" s="2" t="str">
        <f>IF(MINDS!BC$83&lt;&gt;"",MINDS!BC$83,"")</f>
        <v/>
      </c>
      <c r="BD13" s="2" t="str">
        <f>IF(MINDS!BD$83&lt;&gt;"",MINDS!BD$83,"")</f>
        <v/>
      </c>
      <c r="BE13" s="2" t="str">
        <f>IF(MINDS!BE$83&lt;&gt;"",MINDS!BE$83,"")</f>
        <v/>
      </c>
      <c r="BF13" s="2" t="str">
        <f>IF(MINDS!BF$83&lt;&gt;"",MINDS!BF$83,"")</f>
        <v/>
      </c>
      <c r="BG13" s="2" t="str">
        <f>IF(MINDS!BG$83&lt;&gt;"",MINDS!BG$83,"")</f>
        <v/>
      </c>
      <c r="BH13" s="2" t="str">
        <f>IF(MINDS!BH$83&lt;&gt;"",MINDS!BH$83,"")</f>
        <v/>
      </c>
      <c r="BI13" s="2" t="str">
        <f>IF(MINDS!BI$83&lt;&gt;"",MINDS!BI$83,"")</f>
        <v/>
      </c>
      <c r="BJ13" s="2" t="str">
        <f>IF(MINDS!BJ$83&lt;&gt;"",MINDS!BJ$83,"")</f>
        <v/>
      </c>
      <c r="BK13" s="2" t="str">
        <f>IF(MINDS!BK$83&lt;&gt;"",MINDS!BK$83,"")</f>
        <v/>
      </c>
      <c r="BL13" s="2" t="str">
        <f>IF(MINDS!BL$83&lt;&gt;"",MINDS!BL$83,"")</f>
        <v/>
      </c>
      <c r="BM13" s="2" t="str">
        <f>IF(MINDS!BM$83&lt;&gt;"",MINDS!BM$83,"")</f>
        <v/>
      </c>
      <c r="BN13" s="2" t="str">
        <f>IF(MINDS!BN$83&lt;&gt;"",MINDS!BN$83,"")</f>
        <v/>
      </c>
      <c r="BO13" s="2" t="str">
        <f>IF(MINDS!BO$83&lt;&gt;"",MINDS!BO$83,"")</f>
        <v/>
      </c>
      <c r="BP13" s="2" t="str">
        <f>IF(MINDS!BP$83&lt;&gt;"",MINDS!BP$83,"")</f>
        <v/>
      </c>
      <c r="BQ13" s="2" t="str">
        <f>IF(MINDS!BQ$83&lt;&gt;"",MINDS!BQ$83,"")</f>
        <v/>
      </c>
      <c r="BR13" s="2" t="str">
        <f>IF(MINDS!BR$83&lt;&gt;"",MINDS!BR$83,"")</f>
        <v/>
      </c>
      <c r="BS13" s="2" t="str">
        <f>IF(MINDS!BS$83&lt;&gt;"",MINDS!BS$83,"")</f>
        <v/>
      </c>
      <c r="BT13" s="2" t="str">
        <f>IF(MINDS!BT$83&lt;&gt;"",MINDS!BT$83,"")</f>
        <v/>
      </c>
      <c r="BU13" s="2" t="str">
        <f>IF(MINDS!BU$83&lt;&gt;"",MINDS!BU$83,"")</f>
        <v/>
      </c>
      <c r="BV13" s="2" t="str">
        <f>IF(MINDS!BV$83&lt;&gt;"",MINDS!BV$83,"")</f>
        <v/>
      </c>
      <c r="BW13" s="2" t="str">
        <f>IF(MINDS!BW$83&lt;&gt;"",MINDS!BW$83,"")</f>
        <v/>
      </c>
      <c r="BX13" s="2" t="str">
        <f>IF(MINDS!BX$83&lt;&gt;"",MINDS!BX$83,"")</f>
        <v/>
      </c>
      <c r="BY13" s="2" t="str">
        <f>IF(MINDS!BY$83&lt;&gt;"",MINDS!BY$83,"")</f>
        <v/>
      </c>
      <c r="BZ13" s="2" t="str">
        <f>IF(MINDS!BZ$83&lt;&gt;"",MINDS!BZ$83,"")</f>
        <v/>
      </c>
      <c r="CA13" s="2" t="str">
        <f>IF(MINDS!CA$83&lt;&gt;"",MINDS!CA$83,"")</f>
        <v/>
      </c>
      <c r="CB13" s="2" t="str">
        <f>IF(MINDS!CB$83&lt;&gt;"",MINDS!CB$83,"")</f>
        <v/>
      </c>
      <c r="CC13" s="2" t="str">
        <f>IF(MINDS!CC$83&lt;&gt;"",MINDS!CC$83,"")</f>
        <v/>
      </c>
      <c r="CD13" s="2" t="str">
        <f>IF(MINDS!CD$83&lt;&gt;"",MINDS!CD$83,"")</f>
        <v/>
      </c>
      <c r="CE13" s="2" t="str">
        <f>IF(MINDS!CE$83&lt;&gt;"",MINDS!CE$83,"")</f>
        <v/>
      </c>
      <c r="CF13" s="2" t="str">
        <f>IF(MINDS!CF$83&lt;&gt;"",MINDS!CF$83,"")</f>
        <v/>
      </c>
      <c r="CG13" s="2" t="str">
        <f>IF(MINDS!CG$83&lt;&gt;"",MINDS!CG$83,"")</f>
        <v/>
      </c>
      <c r="CH13" s="2" t="str">
        <f>IF(MINDS!CH$83&lt;&gt;"",MINDS!CH$83,"")</f>
        <v/>
      </c>
      <c r="CI13" s="2" t="str">
        <f>IF(MINDS!CI$83&lt;&gt;"",MINDS!CI$83,"")</f>
        <v/>
      </c>
      <c r="CJ13" s="2" t="str">
        <f>IF(MINDS!CJ$83&lt;&gt;"",MINDS!CJ$83,"")</f>
        <v/>
      </c>
      <c r="CK13" s="2" t="str">
        <f>IF(MINDS!CK$83&lt;&gt;"",MINDS!CK$83,"")</f>
        <v/>
      </c>
      <c r="CL13" s="2" t="str">
        <f>IF(MINDS!CL$83&lt;&gt;"",MINDS!CL$83,"")</f>
        <v/>
      </c>
      <c r="CM13" s="2" t="str">
        <f>IF(MINDS!CM$83&lt;&gt;"",MINDS!CM$83,"")</f>
        <v/>
      </c>
      <c r="CN13" s="2" t="str">
        <f>IF(MINDS!CN$83&lt;&gt;"",MINDS!CN$83,"")</f>
        <v/>
      </c>
      <c r="CO13" s="2" t="str">
        <f>IF(MINDS!CO$83&lt;&gt;"",MINDS!CO$83,"")</f>
        <v/>
      </c>
      <c r="CP13" s="2" t="str">
        <f>IF(MINDS!CP$83&lt;&gt;"",MINDS!CP$83,"")</f>
        <v/>
      </c>
      <c r="CQ13" s="2" t="str">
        <f>IF(MINDS!CQ$83&lt;&gt;"",MINDS!CQ$83,"")</f>
        <v/>
      </c>
      <c r="CR13" s="2" t="str">
        <f>IF(MINDS!CR$83&lt;&gt;"",MINDS!CR$83,"")</f>
        <v/>
      </c>
      <c r="CS13" s="2" t="str">
        <f>IF(MINDS!CS$83&lt;&gt;"",MINDS!CS$83,"")</f>
        <v/>
      </c>
      <c r="CT13" s="2" t="str">
        <f>IF(MINDS!CT$83&lt;&gt;"",MINDS!CT$83,"")</f>
        <v/>
      </c>
      <c r="CU13" s="2" t="str">
        <f>IF(MINDS!CU$83&lt;&gt;"",MINDS!CU$83,"")</f>
        <v/>
      </c>
      <c r="CV13" s="2" t="str">
        <f>IF(MINDS!CV$83&lt;&gt;"",MINDS!CV$83,"")</f>
        <v/>
      </c>
      <c r="CW13" s="2" t="str">
        <f>IF(MINDS!CW$83&lt;&gt;"",MINDS!CW$83,"")</f>
        <v/>
      </c>
      <c r="CX13" s="2" t="str">
        <f>IF(MINDS!CX$83&lt;&gt;"",MINDS!CX$83,"")</f>
        <v/>
      </c>
      <c r="CY13" s="2" t="str">
        <f>IF(MINDS!CY$83&lt;&gt;"",MINDS!CY$83,"")</f>
        <v/>
      </c>
      <c r="CZ13" s="2" t="str">
        <f>IF(MINDS!CZ$83&lt;&gt;"",MINDS!CZ$83,"")</f>
        <v/>
      </c>
      <c r="DA13" s="2" t="str">
        <f>IF(MINDS!DA$83&lt;&gt;"",MINDS!DA$83,"")</f>
        <v/>
      </c>
      <c r="DB13" s="2" t="str">
        <f>IF(MINDS!DB$83&lt;&gt;"",MINDS!DB$83,"")</f>
        <v/>
      </c>
      <c r="DC13" s="2" t="str">
        <f>IF(MINDS!DC$83&lt;&gt;"",MINDS!DC$83,"")</f>
        <v/>
      </c>
      <c r="DD13" s="2" t="str">
        <f>IF(MINDS!DD$83&lt;&gt;"",MINDS!DD$83,"")</f>
        <v/>
      </c>
      <c r="DE13" s="2" t="str">
        <f>IF(MINDS!DE$83&lt;&gt;"",MINDS!DE$83,"")</f>
        <v/>
      </c>
      <c r="DF13" s="2" t="str">
        <f>IF(MINDS!DF$83&lt;&gt;"",MINDS!DF$83,"")</f>
        <v/>
      </c>
      <c r="DG13" s="2" t="str">
        <f>IF(MINDS!DG$83&lt;&gt;"",MINDS!DG$83,"")</f>
        <v/>
      </c>
      <c r="DH13" s="2" t="str">
        <f>IF(MINDS!DH$83&lt;&gt;"",MINDS!DH$83,"")</f>
        <v/>
      </c>
      <c r="DI13" s="2" t="str">
        <f>IF(MINDS!DI$83&lt;&gt;"",MINDS!DI$83,"")</f>
        <v/>
      </c>
      <c r="DJ13" s="2" t="str">
        <f>IF(MINDS!DJ$83&lt;&gt;"",MINDS!DJ$83,"")</f>
        <v/>
      </c>
      <c r="DK13" s="2" t="str">
        <f>IF(MINDS!DK$83&lt;&gt;"",MINDS!DK$83,"")</f>
        <v/>
      </c>
      <c r="DL13" s="2" t="str">
        <f>IF(MINDS!DL$83&lt;&gt;"",MINDS!DL$83,"")</f>
        <v/>
      </c>
      <c r="DM13" s="2" t="str">
        <f>IF(MINDS!DM$83&lt;&gt;"",MINDS!DM$83,"")</f>
        <v/>
      </c>
      <c r="DN13" s="2" t="str">
        <f>IF(MINDS!DN$83&lt;&gt;"",MINDS!DN$83,"")</f>
        <v/>
      </c>
      <c r="DO13" s="2" t="str">
        <f>IF(MINDS!DO$83&lt;&gt;"",MINDS!DO$83,"")</f>
        <v/>
      </c>
      <c r="DP13" s="2" t="str">
        <f>IF(MINDS!DP$83&lt;&gt;"",MINDS!DP$83,"")</f>
        <v/>
      </c>
      <c r="DQ13" s="2" t="str">
        <f>IF(MINDS!DQ$83&lt;&gt;"",MINDS!DQ$83,"")</f>
        <v/>
      </c>
      <c r="DR13" s="2" t="str">
        <f>IF(MINDS!DR$83&lt;&gt;"",MINDS!DR$83,"")</f>
        <v/>
      </c>
      <c r="DS13" s="2" t="str">
        <f>IF(MINDS!DS$83&lt;&gt;"",MINDS!DS$83,"")</f>
        <v/>
      </c>
      <c r="DT13" s="2" t="str">
        <f>IF(MINDS!DT$83&lt;&gt;"",MINDS!DT$83,"")</f>
        <v/>
      </c>
      <c r="DU13" s="2" t="str">
        <f>IF(MINDS!DU$83&lt;&gt;"",MINDS!DU$83,"")</f>
        <v/>
      </c>
      <c r="DV13" s="2" t="str">
        <f>IF(MINDS!DV$83&lt;&gt;"",MINDS!DV$83,"")</f>
        <v/>
      </c>
      <c r="DW13" s="2" t="str">
        <f>IF(MINDS!DW$83&lt;&gt;"",MINDS!DW$83,"")</f>
        <v/>
      </c>
      <c r="DX13" s="2" t="str">
        <f>IF(MINDS!DX$83&lt;&gt;"",MINDS!DX$83,"")</f>
        <v/>
      </c>
      <c r="DY13" s="2" t="str">
        <f>IF(MINDS!DY$83&lt;&gt;"",MINDS!DY$83,"")</f>
        <v/>
      </c>
      <c r="DZ13" s="2" t="str">
        <f>IF(MINDS!DZ$83&lt;&gt;"",MINDS!DZ$83,"")</f>
        <v/>
      </c>
      <c r="EA13" s="2" t="str">
        <f>IF(MINDS!EA$83&lt;&gt;"",MINDS!EA$83,"")</f>
        <v/>
      </c>
      <c r="EB13" s="2" t="str">
        <f>IF(MINDS!EB$83&lt;&gt;"",MINDS!EB$83,"")</f>
        <v/>
      </c>
      <c r="EC13" s="2" t="str">
        <f>IF(MINDS!EC$83&lt;&gt;"",MINDS!EC$83,"")</f>
        <v/>
      </c>
      <c r="ED13" s="2" t="str">
        <f>IF(MINDS!ED$83&lt;&gt;"",MINDS!ED$83,"")</f>
        <v/>
      </c>
      <c r="EE13" s="2" t="str">
        <f>IF(MINDS!EE$83&lt;&gt;"",MINDS!EE$83,"")</f>
        <v/>
      </c>
      <c r="EF13" s="2" t="str">
        <f>IF(MINDS!EF$83&lt;&gt;"",MINDS!EF$83,"")</f>
        <v/>
      </c>
      <c r="EG13" s="2" t="str">
        <f>IF(MINDS!EG$83&lt;&gt;"",MINDS!EG$83,"")</f>
        <v/>
      </c>
      <c r="EH13" s="2" t="str">
        <f>IF(MINDS!EH$83&lt;&gt;"",MINDS!EH$83,"")</f>
        <v/>
      </c>
      <c r="EI13" s="2" t="str">
        <f>IF(MINDS!EI$83&lt;&gt;"",MINDS!EI$83,"")</f>
        <v/>
      </c>
      <c r="EJ13" s="2" t="str">
        <f>IF(MINDS!EJ$83&lt;&gt;"",MINDS!EJ$83,"")</f>
        <v/>
      </c>
      <c r="EK13" s="2" t="str">
        <f>IF(MINDS!EK$83&lt;&gt;"",MINDS!EK$83,"")</f>
        <v/>
      </c>
      <c r="EL13" s="2" t="str">
        <f>IF(MINDS!EL$83&lt;&gt;"",MINDS!EL$83,"")</f>
        <v/>
      </c>
      <c r="EM13" s="2" t="str">
        <f>IF(MINDS!EM$83&lt;&gt;"",MINDS!EM$83,"")</f>
        <v/>
      </c>
      <c r="EN13" s="2" t="str">
        <f>IF(MINDS!EN$83&lt;&gt;"",MINDS!EN$83,"")</f>
        <v/>
      </c>
      <c r="EO13" s="2" t="str">
        <f>IF(MINDS!EO$83&lt;&gt;"",MINDS!EO$83,"")</f>
        <v/>
      </c>
      <c r="EP13" s="2" t="str">
        <f>IF(MINDS!EP$83&lt;&gt;"",MINDS!EP$83,"")</f>
        <v/>
      </c>
      <c r="EQ13" s="2" t="str">
        <f>IF(MINDS!EQ$83&lt;&gt;"",MINDS!EQ$83,"")</f>
        <v/>
      </c>
      <c r="ER13" s="2" t="str">
        <f>IF(MINDS!ER$83&lt;&gt;"",MINDS!ER$83,"")</f>
        <v/>
      </c>
      <c r="ES13" s="2" t="str">
        <f>IF(MINDS!ES$83&lt;&gt;"",MINDS!ES$83,"")</f>
        <v/>
      </c>
      <c r="ET13" s="2" t="str">
        <f>IF(MINDS!ET$83&lt;&gt;"",MINDS!ET$83,"")</f>
        <v/>
      </c>
      <c r="EU13" s="2" t="str">
        <f>IF(MINDS!EU$83&lt;&gt;"",MINDS!EU$83,"")</f>
        <v/>
      </c>
      <c r="EV13" s="2" t="str">
        <f>IF(MINDS!EV$83&lt;&gt;"",MINDS!EV$83,"")</f>
        <v/>
      </c>
      <c r="EW13" s="2" t="str">
        <f>IF(MINDS!EW$83&lt;&gt;"",MINDS!EW$83,"")</f>
        <v/>
      </c>
      <c r="EX13" s="2" t="str">
        <f>IF(MINDS!EX$83&lt;&gt;"",MINDS!EX$83,"")</f>
        <v/>
      </c>
      <c r="EY13" s="2" t="str">
        <f>IF(MINDS!EY$83&lt;&gt;"",MINDS!EY$83,"")</f>
        <v/>
      </c>
      <c r="EZ13" s="2" t="str">
        <f>IF(MINDS!EZ$83&lt;&gt;"",MINDS!EZ$83,"")</f>
        <v/>
      </c>
      <c r="FA13" s="2" t="str">
        <f>IF(MINDS!FA$83&lt;&gt;"",MINDS!FA$83,"")</f>
        <v/>
      </c>
      <c r="FB13" s="2" t="str">
        <f>IF(MINDS!FB$83&lt;&gt;"",MINDS!FB$83,"")</f>
        <v/>
      </c>
      <c r="FC13" s="2" t="str">
        <f>IF(MINDS!FC$83&lt;&gt;"",MINDS!FC$83,"")</f>
        <v/>
      </c>
      <c r="FD13" s="2" t="str">
        <f>IF(MINDS!FD$83&lt;&gt;"",MINDS!FD$83,"")</f>
        <v/>
      </c>
      <c r="FE13" s="2" t="str">
        <f>IF(MINDS!FE$83&lt;&gt;"",MINDS!FE$83,"")</f>
        <v/>
      </c>
      <c r="FF13" s="2" t="str">
        <f>IF(MINDS!FF$83&lt;&gt;"",MINDS!FF$83,"")</f>
        <v/>
      </c>
      <c r="FG13" s="2" t="str">
        <f>IF(MINDS!FG$83&lt;&gt;"",MINDS!FG$83,"")</f>
        <v/>
      </c>
      <c r="FH13" s="2" t="str">
        <f>IF(MINDS!FH$83&lt;&gt;"",MINDS!FH$83,"")</f>
        <v/>
      </c>
      <c r="FI13" s="2" t="str">
        <f>IF(MINDS!FI$83&lt;&gt;"",MINDS!FI$83,"")</f>
        <v/>
      </c>
      <c r="FJ13" s="2" t="str">
        <f>IF(MINDS!FJ$83&lt;&gt;"",MINDS!FJ$83,"")</f>
        <v/>
      </c>
      <c r="FK13" s="2" t="str">
        <f>IF(MINDS!FK$83&lt;&gt;"",MINDS!FK$83,"")</f>
        <v/>
      </c>
      <c r="FL13" s="2" t="str">
        <f>IF(MINDS!FL$83&lt;&gt;"",MINDS!FL$83,"")</f>
        <v/>
      </c>
      <c r="FM13" s="2" t="str">
        <f>IF(MINDS!FM$83&lt;&gt;"",MINDS!FM$83,"")</f>
        <v/>
      </c>
      <c r="FN13" s="2" t="str">
        <f>IF(MINDS!FN$83&lt;&gt;"",MINDS!FN$83,"")</f>
        <v/>
      </c>
      <c r="FO13" s="2" t="str">
        <f>IF(MINDS!FO$83&lt;&gt;"",MINDS!FO$83,"")</f>
        <v/>
      </c>
      <c r="FP13" s="2" t="str">
        <f>IF(MINDS!FP$83&lt;&gt;"",MINDS!FP$83,"")</f>
        <v/>
      </c>
      <c r="FQ13" s="2" t="str">
        <f>IF(MINDS!FQ$83&lt;&gt;"",MINDS!FQ$83,"")</f>
        <v/>
      </c>
      <c r="FR13" s="2" t="str">
        <f>IF(MINDS!FR$83&lt;&gt;"",MINDS!FR$83,"")</f>
        <v/>
      </c>
      <c r="FS13" s="2" t="str">
        <f>IF(MINDS!FS$83&lt;&gt;"",MINDS!FS$83,"")</f>
        <v/>
      </c>
      <c r="FT13" s="2" t="str">
        <f>IF(MINDS!FT$83&lt;&gt;"",MINDS!FT$83,"")</f>
        <v/>
      </c>
      <c r="FU13" s="2" t="str">
        <f>IF(MINDS!FU$83&lt;&gt;"",MINDS!FU$83,"")</f>
        <v/>
      </c>
      <c r="FV13" s="2" t="str">
        <f>IF(MINDS!FV$83&lt;&gt;"",MINDS!FV$83,"")</f>
        <v/>
      </c>
      <c r="FW13" s="2" t="str">
        <f>IF(MINDS!FW$83&lt;&gt;"",MINDS!FW$83,"")</f>
        <v/>
      </c>
      <c r="FX13" s="2" t="str">
        <f>IF(MINDS!FX$83&lt;&gt;"",MINDS!FX$83,"")</f>
        <v/>
      </c>
      <c r="FY13" s="2" t="str">
        <f>IF(MINDS!FY$83&lt;&gt;"",MINDS!FY$83,"")</f>
        <v/>
      </c>
      <c r="FZ13" s="2" t="str">
        <f>IF(MINDS!FZ$83&lt;&gt;"",MINDS!FZ$83,"")</f>
        <v/>
      </c>
      <c r="GA13" s="2" t="str">
        <f>IF(MINDS!GA$83&lt;&gt;"",MINDS!GA$83,"")</f>
        <v/>
      </c>
      <c r="GB13" s="2" t="str">
        <f>IF(MINDS!GB$83&lt;&gt;"",MINDS!GB$83,"")</f>
        <v/>
      </c>
      <c r="GC13" s="2" t="str">
        <f>IF(MINDS!GC$83&lt;&gt;"",MINDS!GC$83,"")</f>
        <v/>
      </c>
      <c r="GD13" s="2" t="str">
        <f>IF(MINDS!GD$83&lt;&gt;"",MINDS!GD$83,"")</f>
        <v/>
      </c>
      <c r="GE13" s="2" t="str">
        <f>IF(MINDS!GE$83&lt;&gt;"",MINDS!GE$83,"")</f>
        <v/>
      </c>
      <c r="GF13" s="2" t="str">
        <f>IF(MINDS!GF$83&lt;&gt;"",MINDS!GF$83,"")</f>
        <v/>
      </c>
      <c r="GG13" s="2" t="str">
        <f>IF(MINDS!GG$83&lt;&gt;"",MINDS!GG$83,"")</f>
        <v/>
      </c>
      <c r="GH13" s="2" t="str">
        <f>IF(MINDS!GH$83&lt;&gt;"",MINDS!GH$83,"")</f>
        <v/>
      </c>
      <c r="GI13" s="2" t="str">
        <f>IF(MINDS!GI$83&lt;&gt;"",MINDS!GI$83,"")</f>
        <v/>
      </c>
      <c r="GJ13" s="2" t="str">
        <f>IF(MINDS!GJ$83&lt;&gt;"",MINDS!GJ$83,"")</f>
        <v/>
      </c>
      <c r="GK13" s="2" t="str">
        <f>IF(MINDS!GK$83&lt;&gt;"",MINDS!GK$83,"")</f>
        <v/>
      </c>
      <c r="GL13" s="2" t="str">
        <f>IF(MINDS!GL$83&lt;&gt;"",MINDS!GL$83,"")</f>
        <v/>
      </c>
      <c r="GM13" s="2" t="str">
        <f>IF(MINDS!GM$83&lt;&gt;"",MINDS!GM$83,"")</f>
        <v/>
      </c>
      <c r="GN13" s="2" t="str">
        <f>IF(MINDS!GN$83&lt;&gt;"",MINDS!GN$83,"")</f>
        <v/>
      </c>
      <c r="GO13" s="2" t="str">
        <f>IF(MINDS!GO$83&lt;&gt;"",MINDS!GO$83,"")</f>
        <v/>
      </c>
      <c r="GP13" s="2" t="str">
        <f>IF(MINDS!GP$83&lt;&gt;"",MINDS!GP$83,"")</f>
        <v/>
      </c>
      <c r="GQ13" s="2" t="str">
        <f>IF(MINDS!GQ$83&lt;&gt;"",MINDS!GQ$83,"")</f>
        <v/>
      </c>
      <c r="GR13" s="2" t="str">
        <f>IF(MINDS!GR$83&lt;&gt;"",MINDS!GR$83,"")</f>
        <v/>
      </c>
      <c r="GS13" s="2" t="str">
        <f>IF(MINDS!GS$83&lt;&gt;"",MINDS!GS$83,"")</f>
        <v/>
      </c>
      <c r="GT13" s="2" t="str">
        <f>IF(MINDS!GT$83&lt;&gt;"",MINDS!GT$83,"")</f>
        <v/>
      </c>
      <c r="GU13" s="2" t="str">
        <f>IF(MINDS!GU$83&lt;&gt;"",MINDS!GU$83,"")</f>
        <v/>
      </c>
      <c r="GV13" s="2" t="str">
        <f>IF(MINDS!GV$83&lt;&gt;"",MINDS!GV$83,"")</f>
        <v/>
      </c>
      <c r="GW13" s="2" t="str">
        <f>IF(MINDS!GW$83&lt;&gt;"",MINDS!GW$83,"")</f>
        <v/>
      </c>
      <c r="GX13" s="2" t="str">
        <f>IF(MINDS!GX$83&lt;&gt;"",MINDS!GX$83,"")</f>
        <v/>
      </c>
      <c r="GY13" s="2" t="str">
        <f>IF(MINDS!GY$83&lt;&gt;"",MINDS!GY$83,"")</f>
        <v/>
      </c>
      <c r="GZ13" s="2" t="str">
        <f>IF(MINDS!GZ$83&lt;&gt;"",MINDS!GZ$83,"")</f>
        <v/>
      </c>
      <c r="HA13" s="2" t="str">
        <f>IF(MINDS!HA$83&lt;&gt;"",MINDS!HA$83,"")</f>
        <v/>
      </c>
      <c r="HB13" s="2" t="str">
        <f>IF(MINDS!HB$83&lt;&gt;"",MINDS!HB$83,"")</f>
        <v/>
      </c>
      <c r="HC13" s="2" t="str">
        <f>IF(MINDS!HC$83&lt;&gt;"",MINDS!HC$83,"")</f>
        <v/>
      </c>
      <c r="HD13" s="2" t="str">
        <f>IF(MINDS!HD$83&lt;&gt;"",MINDS!HD$83,"")</f>
        <v/>
      </c>
      <c r="HE13" s="2" t="str">
        <f>IF(MINDS!HE$83&lt;&gt;"",MINDS!HE$83,"")</f>
        <v/>
      </c>
      <c r="HF13" s="2" t="str">
        <f>IF(MINDS!HF$83&lt;&gt;"",MINDS!HF$83,"")</f>
        <v/>
      </c>
      <c r="HG13" s="2" t="str">
        <f>IF(MINDS!HG$83&lt;&gt;"",MINDS!HG$83,"")</f>
        <v/>
      </c>
      <c r="HH13" s="2" t="str">
        <f>IF(MINDS!HH$83&lt;&gt;"",MINDS!HH$83,"")</f>
        <v/>
      </c>
      <c r="HI13" s="2" t="str">
        <f>IF(MINDS!HI$83&lt;&gt;"",MINDS!HI$83,"")</f>
        <v/>
      </c>
      <c r="HJ13" s="2" t="str">
        <f>IF(MINDS!HJ$83&lt;&gt;"",MINDS!HJ$83,"")</f>
        <v/>
      </c>
      <c r="HK13" s="2" t="str">
        <f>IF(MINDS!HK$83&lt;&gt;"",MINDS!HK$83,"")</f>
        <v/>
      </c>
      <c r="HL13" s="2" t="str">
        <f>IF(MINDS!HL$83&lt;&gt;"",MINDS!HL$83,"")</f>
        <v/>
      </c>
      <c r="HM13" s="2" t="str">
        <f>IF(MINDS!HM$83&lt;&gt;"",MINDS!HM$83,"")</f>
        <v/>
      </c>
      <c r="HN13" s="2" t="str">
        <f>IF(MINDS!HN$83&lt;&gt;"",MINDS!HN$83,"")</f>
        <v/>
      </c>
      <c r="HO13" s="2" t="str">
        <f>IF(MINDS!HO$83&lt;&gt;"",MINDS!HO$83,"")</f>
        <v/>
      </c>
      <c r="HP13" s="2" t="str">
        <f>IF(MINDS!HP$83&lt;&gt;"",MINDS!HP$83,"")</f>
        <v/>
      </c>
      <c r="HQ13" s="2" t="str">
        <f>IF(MINDS!HQ$83&lt;&gt;"",MINDS!HQ$83,"")</f>
        <v/>
      </c>
      <c r="HR13" s="2" t="str">
        <f>IF(MINDS!HR$83&lt;&gt;"",MINDS!HR$83,"")</f>
        <v/>
      </c>
      <c r="HS13" s="2" t="str">
        <f>IF(MINDS!HS$83&lt;&gt;"",MINDS!HS$83,"")</f>
        <v/>
      </c>
      <c r="HT13" s="2" t="str">
        <f>IF(MINDS!HT$83&lt;&gt;"",MINDS!HT$83,"")</f>
        <v/>
      </c>
      <c r="HU13" s="2" t="str">
        <f>IF(MINDS!HU$83&lt;&gt;"",MINDS!HU$83,"")</f>
        <v/>
      </c>
      <c r="HV13" s="2" t="str">
        <f>IF(MINDS!HV$83&lt;&gt;"",MINDS!HV$83,"")</f>
        <v/>
      </c>
      <c r="HW13" s="2" t="str">
        <f>IF(MINDS!HW$83&lt;&gt;"",MINDS!HW$83,"")</f>
        <v/>
      </c>
      <c r="HX13" s="2" t="str">
        <f>IF(MINDS!HX$83&lt;&gt;"",MINDS!HX$83,"")</f>
        <v/>
      </c>
      <c r="HY13" s="2" t="str">
        <f>IF(MINDS!HY$83&lt;&gt;"",MINDS!HY$83,"")</f>
        <v/>
      </c>
      <c r="HZ13" s="2" t="str">
        <f>IF(MINDS!HZ$83&lt;&gt;"",MINDS!HZ$83,"")</f>
        <v/>
      </c>
      <c r="IA13" s="2" t="str">
        <f>IF(MINDS!IA$83&lt;&gt;"",MINDS!IA$83,"")</f>
        <v/>
      </c>
      <c r="IB13" s="2" t="str">
        <f>IF(MINDS!IB$83&lt;&gt;"",MINDS!IB$83,"")</f>
        <v/>
      </c>
      <c r="IC13" s="2" t="str">
        <f>IF(MINDS!IC$83&lt;&gt;"",MINDS!IC$83,"")</f>
        <v/>
      </c>
      <c r="ID13" s="2" t="str">
        <f>IF(MINDS!ID$83&lt;&gt;"",MINDS!ID$83,"")</f>
        <v/>
      </c>
      <c r="IE13" s="2" t="str">
        <f>IF(MINDS!IE$83&lt;&gt;"",MINDS!IE$83,"")</f>
        <v/>
      </c>
      <c r="IF13" s="2" t="str">
        <f>IF(MINDS!IF$83&lt;&gt;"",MINDS!IF$83,"")</f>
        <v/>
      </c>
      <c r="IG13" s="2" t="str">
        <f>IF(MINDS!IG$83&lt;&gt;"",MINDS!IG$83,"")</f>
        <v/>
      </c>
      <c r="IH13" s="2" t="str">
        <f>IF(MINDS!IH$83&lt;&gt;"",MINDS!IH$83,"")</f>
        <v/>
      </c>
      <c r="II13" s="2" t="str">
        <f>IF(MINDS!II$83&lt;&gt;"",MINDS!II$83,"")</f>
        <v/>
      </c>
      <c r="IJ13" s="2" t="str">
        <f>IF(MINDS!IJ$83&lt;&gt;"",MINDS!IJ$83,"")</f>
        <v/>
      </c>
      <c r="IK13" s="2" t="str">
        <f>IF(MINDS!IK$83&lt;&gt;"",MINDS!IK$83,"")</f>
        <v/>
      </c>
      <c r="IL13" s="2" t="str">
        <f>IF(MINDS!IL$83&lt;&gt;"",MINDS!IL$83,"")</f>
        <v/>
      </c>
      <c r="IM13" s="2" t="str">
        <f>IF(MINDS!IM$83&lt;&gt;"",MINDS!IM$83,"")</f>
        <v/>
      </c>
      <c r="IN13" s="2" t="str">
        <f>IF(MINDS!IN$83&lt;&gt;"",MINDS!IN$83,"")</f>
        <v/>
      </c>
      <c r="IO13" s="2" t="str">
        <f>IF(MINDS!IO$83&lt;&gt;"",MINDS!IO$83,"")</f>
        <v/>
      </c>
      <c r="IP13" s="2" t="str">
        <f>IF(MINDS!IP$83&lt;&gt;"",MINDS!IP$83,"")</f>
        <v/>
      </c>
      <c r="IQ13" s="2" t="str">
        <f>IF(MINDS!IQ$83&lt;&gt;"",MINDS!IQ$83,"")</f>
        <v/>
      </c>
      <c r="IR13" s="2" t="str">
        <f>IF(MINDS!IR$83&lt;&gt;"",MINDS!IR$83,"")</f>
        <v/>
      </c>
      <c r="IS13" s="2" t="str">
        <f>IF(MINDS!IS$83&lt;&gt;"",MINDS!IS$83,"")</f>
        <v/>
      </c>
      <c r="IT13" s="2" t="str">
        <f>IF(MINDS!IT$83&lt;&gt;"",MINDS!IT$83,"")</f>
        <v/>
      </c>
      <c r="IU13" s="2" t="str">
        <f>IF(MINDS!IU$83&lt;&gt;"",MINDS!IU$83,"")</f>
        <v/>
      </c>
      <c r="IV13" s="2" t="str">
        <f>IF(MINDS!IV$83&lt;&gt;"",MINDS!IV$83,"")</f>
        <v/>
      </c>
    </row>
    <row r="14" spans="1:256" x14ac:dyDescent="0.2">
      <c r="A14" s="3" t="s">
        <v>15</v>
      </c>
    </row>
    <row r="15" spans="1:256" x14ac:dyDescent="0.2">
      <c r="A15" s="3" t="s">
        <v>16</v>
      </c>
      <c r="C15" s="2" t="str">
        <f>IF(C$13="","",MINDS!C$84)</f>
        <v/>
      </c>
      <c r="D15" s="2" t="str">
        <f>IF(D$13="","",MINDS!D$84)</f>
        <v/>
      </c>
      <c r="E15" s="2" t="str">
        <f>IF(E$13="","",MINDS!E$84)</f>
        <v/>
      </c>
      <c r="F15" s="2" t="str">
        <f>IF(F$13="","",MINDS!F$84)</f>
        <v/>
      </c>
      <c r="G15" s="2" t="str">
        <f>IF(G$13="","",MINDS!G$84)</f>
        <v/>
      </c>
      <c r="H15" s="2" t="str">
        <f>IF(H$13="","",MINDS!H$84)</f>
        <v/>
      </c>
      <c r="I15" s="2" t="str">
        <f>IF(I$13="","",MINDS!I$84)</f>
        <v/>
      </c>
      <c r="J15" s="2" t="str">
        <f>IF(J$13="","",MINDS!J$84)</f>
        <v/>
      </c>
      <c r="K15" s="2" t="str">
        <f>IF(K$13="","",MINDS!K$84)</f>
        <v/>
      </c>
      <c r="L15" s="2" t="str">
        <f>IF(L$13="","",MINDS!L$84)</f>
        <v/>
      </c>
      <c r="M15" s="2" t="str">
        <f>IF(M$13="","",MINDS!M$84)</f>
        <v/>
      </c>
      <c r="N15" s="2" t="str">
        <f>IF(N$13="","",MINDS!N$84)</f>
        <v/>
      </c>
      <c r="O15" s="2" t="str">
        <f>IF(O$13="","",MINDS!O$84)</f>
        <v/>
      </c>
      <c r="P15" s="2" t="str">
        <f>IF(P$13="","",MINDS!P$84)</f>
        <v/>
      </c>
      <c r="Q15" s="2" t="str">
        <f>IF(Q$13="","",MINDS!Q$84)</f>
        <v/>
      </c>
      <c r="R15" s="2" t="str">
        <f>IF(R$13="","",MINDS!R$84)</f>
        <v/>
      </c>
      <c r="S15" s="2" t="str">
        <f>IF(S$13="","",MINDS!S$84)</f>
        <v/>
      </c>
      <c r="T15" s="2" t="str">
        <f>IF(T$13="","",MINDS!T$84)</f>
        <v/>
      </c>
      <c r="U15" s="2" t="str">
        <f>IF(U$13="","",MINDS!U$84)</f>
        <v/>
      </c>
      <c r="V15" s="2" t="str">
        <f>IF(V$13="","",MINDS!V$84)</f>
        <v/>
      </c>
      <c r="W15" s="2" t="str">
        <f>IF(W$13="","",MINDS!W$84)</f>
        <v/>
      </c>
      <c r="X15" s="2" t="str">
        <f>IF(X$13="","",MINDS!X$84)</f>
        <v/>
      </c>
      <c r="Y15" s="2" t="str">
        <f>IF(Y$13="","",MINDS!Y$84)</f>
        <v/>
      </c>
      <c r="Z15" s="2" t="str">
        <f>IF(Z$13="","",MINDS!Z$84)</f>
        <v/>
      </c>
      <c r="AA15" s="2" t="str">
        <f>IF(AA$13="","",MINDS!AA$84)</f>
        <v/>
      </c>
      <c r="AB15" s="2" t="str">
        <f>IF(AB$13="","",MINDS!AB$84)</f>
        <v/>
      </c>
      <c r="AC15" s="2" t="str">
        <f>IF(AC$13="","",MINDS!AC$84)</f>
        <v/>
      </c>
      <c r="AD15" s="2" t="str">
        <f>IF(AD$13="","",MINDS!AD$84)</f>
        <v/>
      </c>
      <c r="AE15" s="2" t="str">
        <f>IF(AE$13="","",MINDS!AE$84)</f>
        <v/>
      </c>
      <c r="AF15" s="2" t="str">
        <f>IF(AF$13="","",MINDS!AF$84)</f>
        <v/>
      </c>
      <c r="AG15" s="2" t="str">
        <f>IF(AG$13="","",MINDS!AG$84)</f>
        <v/>
      </c>
      <c r="AH15" s="2" t="str">
        <f>IF(AH$13="","",MINDS!AH$84)</f>
        <v/>
      </c>
      <c r="AI15" s="2" t="str">
        <f>IF(AI$13="","",MINDS!AI$84)</f>
        <v/>
      </c>
      <c r="AJ15" s="2" t="str">
        <f>IF(AJ$13="","",MINDS!AJ$84)</f>
        <v/>
      </c>
      <c r="AK15" s="2" t="str">
        <f>IF(AK$13="","",MINDS!AK$84)</f>
        <v/>
      </c>
      <c r="AL15" s="2" t="str">
        <f>IF(AL$13="","",MINDS!AL$84)</f>
        <v/>
      </c>
      <c r="AM15" s="2" t="str">
        <f>IF(AM$13="","",MINDS!AM$84)</f>
        <v/>
      </c>
      <c r="AN15" s="2" t="str">
        <f>IF(AN$13="","",MINDS!AN$84)</f>
        <v/>
      </c>
      <c r="AO15" s="2" t="str">
        <f>IF(AO$13="","",MINDS!AO$84)</f>
        <v/>
      </c>
      <c r="AP15" s="2" t="str">
        <f>IF(AP$13="","",MINDS!AP$84)</f>
        <v/>
      </c>
      <c r="AQ15" s="2" t="str">
        <f>IF(AQ$13="","",MINDS!AQ$84)</f>
        <v/>
      </c>
      <c r="AR15" s="2" t="str">
        <f>IF(AR$13="","",MINDS!AR$84)</f>
        <v/>
      </c>
      <c r="AS15" s="2" t="str">
        <f>IF(AS$13="","",MINDS!AS$84)</f>
        <v/>
      </c>
      <c r="AT15" s="2" t="str">
        <f>IF(AT$13="","",MINDS!AT$84)</f>
        <v/>
      </c>
      <c r="AU15" s="2" t="str">
        <f>IF(AU$13="","",MINDS!AU$84)</f>
        <v/>
      </c>
      <c r="AV15" s="2" t="str">
        <f>IF(AV$13="","",MINDS!AV$84)</f>
        <v/>
      </c>
      <c r="AW15" s="2" t="str">
        <f>IF(AW$13="","",MINDS!AW$84)</f>
        <v/>
      </c>
      <c r="AX15" s="2" t="str">
        <f>IF(AX$13="","",MINDS!AX$84)</f>
        <v/>
      </c>
      <c r="AY15" s="2" t="str">
        <f>IF(AY$13="","",MINDS!AY$84)</f>
        <v/>
      </c>
      <c r="AZ15" s="2" t="str">
        <f>IF(AZ$13="","",MINDS!AZ$84)</f>
        <v/>
      </c>
      <c r="BA15" s="2" t="str">
        <f>IF(BA$13="","",MINDS!BA$84)</f>
        <v/>
      </c>
      <c r="BB15" s="2" t="str">
        <f>IF(BB$13="","",MINDS!BB$84)</f>
        <v/>
      </c>
      <c r="BC15" s="2" t="str">
        <f>IF(BC$13="","",MINDS!BC$84)</f>
        <v/>
      </c>
      <c r="BD15" s="2" t="str">
        <f>IF(BD$13="","",MINDS!BD$84)</f>
        <v/>
      </c>
      <c r="BE15" s="2" t="str">
        <f>IF(BE$13="","",MINDS!BE$84)</f>
        <v/>
      </c>
      <c r="BF15" s="2" t="str">
        <f>IF(BF$13="","",MINDS!BF$84)</f>
        <v/>
      </c>
      <c r="BG15" s="2" t="str">
        <f>IF(BG$13="","",MINDS!BG$84)</f>
        <v/>
      </c>
      <c r="BH15" s="2" t="str">
        <f>IF(BH$13="","",MINDS!BH$84)</f>
        <v/>
      </c>
      <c r="BI15" s="2" t="str">
        <f>IF(BI$13="","",MINDS!BI$84)</f>
        <v/>
      </c>
      <c r="BJ15" s="2" t="str">
        <f>IF(BJ$13="","",MINDS!BJ$84)</f>
        <v/>
      </c>
      <c r="BK15" s="2" t="str">
        <f>IF(BK$13="","",MINDS!BK$84)</f>
        <v/>
      </c>
      <c r="BL15" s="2" t="str">
        <f>IF(BL$13="","",MINDS!BL$84)</f>
        <v/>
      </c>
      <c r="BM15" s="2" t="str">
        <f>IF(BM$13="","",MINDS!BM$84)</f>
        <v/>
      </c>
      <c r="BN15" s="2" t="str">
        <f>IF(BN$13="","",MINDS!BN$84)</f>
        <v/>
      </c>
      <c r="BO15" s="2" t="str">
        <f>IF(BO$13="","",MINDS!BO$84)</f>
        <v/>
      </c>
      <c r="BP15" s="2" t="str">
        <f>IF(BP$13="","",MINDS!BP$84)</f>
        <v/>
      </c>
      <c r="BQ15" s="2" t="str">
        <f>IF(BQ$13="","",MINDS!BQ$84)</f>
        <v/>
      </c>
      <c r="BR15" s="2" t="str">
        <f>IF(BR$13="","",MINDS!BR$84)</f>
        <v/>
      </c>
      <c r="BS15" s="2" t="str">
        <f>IF(BS$13="","",MINDS!BS$84)</f>
        <v/>
      </c>
      <c r="BT15" s="2" t="str">
        <f>IF(BT$13="","",MINDS!BT$84)</f>
        <v/>
      </c>
      <c r="BU15" s="2" t="str">
        <f>IF(BU$13="","",MINDS!BU$84)</f>
        <v/>
      </c>
      <c r="BV15" s="2" t="str">
        <f>IF(BV$13="","",MINDS!BV$84)</f>
        <v/>
      </c>
      <c r="BW15" s="2" t="str">
        <f>IF(BW$13="","",MINDS!BW$84)</f>
        <v/>
      </c>
      <c r="BX15" s="2" t="str">
        <f>IF(BX$13="","",MINDS!BX$84)</f>
        <v/>
      </c>
      <c r="BY15" s="2" t="str">
        <f>IF(BY$13="","",MINDS!BY$84)</f>
        <v/>
      </c>
      <c r="BZ15" s="2" t="str">
        <f>IF(BZ$13="","",MINDS!BZ$84)</f>
        <v/>
      </c>
      <c r="CA15" s="2" t="str">
        <f>IF(CA$13="","",MINDS!CA$84)</f>
        <v/>
      </c>
      <c r="CB15" s="2" t="str">
        <f>IF(CB$13="","",MINDS!CB$84)</f>
        <v/>
      </c>
      <c r="CC15" s="2" t="str">
        <f>IF(CC$13="","",MINDS!CC$84)</f>
        <v/>
      </c>
      <c r="CD15" s="2" t="str">
        <f>IF(CD$13="","",MINDS!CD$84)</f>
        <v/>
      </c>
      <c r="CE15" s="2" t="str">
        <f>IF(CE$13="","",MINDS!CE$84)</f>
        <v/>
      </c>
      <c r="CF15" s="2" t="str">
        <f>IF(CF$13="","",MINDS!CF$84)</f>
        <v/>
      </c>
      <c r="CG15" s="2" t="str">
        <f>IF(CG$13="","",MINDS!CG$84)</f>
        <v/>
      </c>
      <c r="CH15" s="2" t="str">
        <f>IF(CH$13="","",MINDS!CH$84)</f>
        <v/>
      </c>
      <c r="CI15" s="2" t="str">
        <f>IF(CI$13="","",MINDS!CI$84)</f>
        <v/>
      </c>
      <c r="CJ15" s="2" t="str">
        <f>IF(CJ$13="","",MINDS!CJ$84)</f>
        <v/>
      </c>
      <c r="CK15" s="2" t="str">
        <f>IF(CK$13="","",MINDS!CK$84)</f>
        <v/>
      </c>
      <c r="CL15" s="2" t="str">
        <f>IF(CL$13="","",MINDS!CL$84)</f>
        <v/>
      </c>
      <c r="CM15" s="2" t="str">
        <f>IF(CM$13="","",MINDS!CM$84)</f>
        <v/>
      </c>
      <c r="CN15" s="2" t="str">
        <f>IF(CN$13="","",MINDS!CN$84)</f>
        <v/>
      </c>
      <c r="CO15" s="2" t="str">
        <f>IF(CO$13="","",MINDS!CO$84)</f>
        <v/>
      </c>
      <c r="CP15" s="2" t="str">
        <f>IF(CP$13="","",MINDS!CP$84)</f>
        <v/>
      </c>
      <c r="CQ15" s="2" t="str">
        <f>IF(CQ$13="","",MINDS!CQ$84)</f>
        <v/>
      </c>
      <c r="CR15" s="2" t="str">
        <f>IF(CR$13="","",MINDS!CR$84)</f>
        <v/>
      </c>
      <c r="CS15" s="2" t="str">
        <f>IF(CS$13="","",MINDS!CS$84)</f>
        <v/>
      </c>
      <c r="CT15" s="2" t="str">
        <f>IF(CT$13="","",MINDS!CT$84)</f>
        <v/>
      </c>
      <c r="CU15" s="2" t="str">
        <f>IF(CU$13="","",MINDS!CU$84)</f>
        <v/>
      </c>
      <c r="CV15" s="2" t="str">
        <f>IF(CV$13="","",MINDS!CV$84)</f>
        <v/>
      </c>
      <c r="CW15" s="2" t="str">
        <f>IF(CW$13="","",MINDS!CW$84)</f>
        <v/>
      </c>
      <c r="CX15" s="2" t="str">
        <f>IF(CX$13="","",MINDS!CX$84)</f>
        <v/>
      </c>
      <c r="CY15" s="2" t="str">
        <f>IF(CY$13="","",MINDS!CY$84)</f>
        <v/>
      </c>
      <c r="CZ15" s="2" t="str">
        <f>IF(CZ$13="","",MINDS!CZ$84)</f>
        <v/>
      </c>
      <c r="DA15" s="2" t="str">
        <f>IF(DA$13="","",MINDS!DA$84)</f>
        <v/>
      </c>
      <c r="DB15" s="2" t="str">
        <f>IF(DB$13="","",MINDS!DB$84)</f>
        <v/>
      </c>
      <c r="DC15" s="2" t="str">
        <f>IF(DC$13="","",MINDS!DC$84)</f>
        <v/>
      </c>
      <c r="DD15" s="2" t="str">
        <f>IF(DD$13="","",MINDS!DD$84)</f>
        <v/>
      </c>
      <c r="DE15" s="2" t="str">
        <f>IF(DE$13="","",MINDS!DE$84)</f>
        <v/>
      </c>
      <c r="DF15" s="2" t="str">
        <f>IF(DF$13="","",MINDS!DF$84)</f>
        <v/>
      </c>
      <c r="DG15" s="2" t="str">
        <f>IF(DG$13="","",MINDS!DG$84)</f>
        <v/>
      </c>
      <c r="DH15" s="2" t="str">
        <f>IF(DH$13="","",MINDS!DH$84)</f>
        <v/>
      </c>
      <c r="DI15" s="2" t="str">
        <f>IF(DI$13="","",MINDS!DI$84)</f>
        <v/>
      </c>
      <c r="DJ15" s="2" t="str">
        <f>IF(DJ$13="","",MINDS!DJ$84)</f>
        <v/>
      </c>
      <c r="DK15" s="2" t="str">
        <f>IF(DK$13="","",MINDS!DK$84)</f>
        <v/>
      </c>
      <c r="DL15" s="2" t="str">
        <f>IF(DL$13="","",MINDS!DL$84)</f>
        <v/>
      </c>
      <c r="DM15" s="2" t="str">
        <f>IF(DM$13="","",MINDS!DM$84)</f>
        <v/>
      </c>
      <c r="DN15" s="2" t="str">
        <f>IF(DN$13="","",MINDS!DN$84)</f>
        <v/>
      </c>
      <c r="DO15" s="2" t="str">
        <f>IF(DO$13="","",MINDS!DO$84)</f>
        <v/>
      </c>
      <c r="DP15" s="2" t="str">
        <f>IF(DP$13="","",MINDS!DP$84)</f>
        <v/>
      </c>
      <c r="DQ15" s="2" t="str">
        <f>IF(DQ$13="","",MINDS!DQ$84)</f>
        <v/>
      </c>
      <c r="DR15" s="2" t="str">
        <f>IF(DR$13="","",MINDS!DR$84)</f>
        <v/>
      </c>
      <c r="DS15" s="2" t="str">
        <f>IF(DS$13="","",MINDS!DS$84)</f>
        <v/>
      </c>
      <c r="DT15" s="2" t="str">
        <f>IF(DT$13="","",MINDS!DT$84)</f>
        <v/>
      </c>
      <c r="DU15" s="2" t="str">
        <f>IF(DU$13="","",MINDS!DU$84)</f>
        <v/>
      </c>
      <c r="DV15" s="2" t="str">
        <f>IF(DV$13="","",MINDS!DV$84)</f>
        <v/>
      </c>
      <c r="DW15" s="2" t="str">
        <f>IF(DW$13="","",MINDS!DW$84)</f>
        <v/>
      </c>
      <c r="DX15" s="2" t="str">
        <f>IF(DX$13="","",MINDS!DX$84)</f>
        <v/>
      </c>
      <c r="DY15" s="2" t="str">
        <f>IF(DY$13="","",MINDS!DY$84)</f>
        <v/>
      </c>
      <c r="DZ15" s="2" t="str">
        <f>IF(DZ$13="","",MINDS!DZ$84)</f>
        <v/>
      </c>
      <c r="EA15" s="2" t="str">
        <f>IF(EA$13="","",MINDS!EA$84)</f>
        <v/>
      </c>
      <c r="EB15" s="2" t="str">
        <f>IF(EB$13="","",MINDS!EB$84)</f>
        <v/>
      </c>
      <c r="EC15" s="2" t="str">
        <f>IF(EC$13="","",MINDS!EC$84)</f>
        <v/>
      </c>
      <c r="ED15" s="2" t="str">
        <f>IF(ED$13="","",MINDS!ED$84)</f>
        <v/>
      </c>
      <c r="EE15" s="2" t="str">
        <f>IF(EE$13="","",MINDS!EE$84)</f>
        <v/>
      </c>
      <c r="EF15" s="2" t="str">
        <f>IF(EF$13="","",MINDS!EF$84)</f>
        <v/>
      </c>
      <c r="EG15" s="2" t="str">
        <f>IF(EG$13="","",MINDS!EG$84)</f>
        <v/>
      </c>
      <c r="EH15" s="2" t="str">
        <f>IF(EH$13="","",MINDS!EH$84)</f>
        <v/>
      </c>
      <c r="EI15" s="2" t="str">
        <f>IF(EI$13="","",MINDS!EI$84)</f>
        <v/>
      </c>
      <c r="EJ15" s="2" t="str">
        <f>IF(EJ$13="","",MINDS!EJ$84)</f>
        <v/>
      </c>
      <c r="EK15" s="2" t="str">
        <f>IF(EK$13="","",MINDS!EK$84)</f>
        <v/>
      </c>
      <c r="EL15" s="2" t="str">
        <f>IF(EL$13="","",MINDS!EL$84)</f>
        <v/>
      </c>
      <c r="EM15" s="2" t="str">
        <f>IF(EM$13="","",MINDS!EM$84)</f>
        <v/>
      </c>
      <c r="EN15" s="2" t="str">
        <f>IF(EN$13="","",MINDS!EN$84)</f>
        <v/>
      </c>
      <c r="EO15" s="2" t="str">
        <f>IF(EO$13="","",MINDS!EO$84)</f>
        <v/>
      </c>
      <c r="EP15" s="2" t="str">
        <f>IF(EP$13="","",MINDS!EP$84)</f>
        <v/>
      </c>
      <c r="EQ15" s="2" t="str">
        <f>IF(EQ$13="","",MINDS!EQ$84)</f>
        <v/>
      </c>
      <c r="ER15" s="2" t="str">
        <f>IF(ER$13="","",MINDS!ER$84)</f>
        <v/>
      </c>
      <c r="ES15" s="2" t="str">
        <f>IF(ES$13="","",MINDS!ES$84)</f>
        <v/>
      </c>
      <c r="ET15" s="2" t="str">
        <f>IF(ET$13="","",MINDS!ET$84)</f>
        <v/>
      </c>
      <c r="EU15" s="2" t="str">
        <f>IF(EU$13="","",MINDS!EU$84)</f>
        <v/>
      </c>
      <c r="EV15" s="2" t="str">
        <f>IF(EV$13="","",MINDS!EV$84)</f>
        <v/>
      </c>
      <c r="EW15" s="2" t="str">
        <f>IF(EW$13="","",MINDS!EW$84)</f>
        <v/>
      </c>
      <c r="EX15" s="2" t="str">
        <f>IF(EX$13="","",MINDS!EX$84)</f>
        <v/>
      </c>
      <c r="EY15" s="2" t="str">
        <f>IF(EY$13="","",MINDS!EY$84)</f>
        <v/>
      </c>
      <c r="EZ15" s="2" t="str">
        <f>IF(EZ$13="","",MINDS!EZ$84)</f>
        <v/>
      </c>
      <c r="FA15" s="2" t="str">
        <f>IF(FA$13="","",MINDS!FA$84)</f>
        <v/>
      </c>
      <c r="FB15" s="2" t="str">
        <f>IF(FB$13="","",MINDS!FB$84)</f>
        <v/>
      </c>
      <c r="FC15" s="2" t="str">
        <f>IF(FC$13="","",MINDS!FC$84)</f>
        <v/>
      </c>
      <c r="FD15" s="2" t="str">
        <f>IF(FD$13="","",MINDS!FD$84)</f>
        <v/>
      </c>
      <c r="FE15" s="2" t="str">
        <f>IF(FE$13="","",MINDS!FE$84)</f>
        <v/>
      </c>
      <c r="FF15" s="2" t="str">
        <f>IF(FF$13="","",MINDS!FF$84)</f>
        <v/>
      </c>
      <c r="FG15" s="2" t="str">
        <f>IF(FG$13="","",MINDS!FG$84)</f>
        <v/>
      </c>
      <c r="FH15" s="2" t="str">
        <f>IF(FH$13="","",MINDS!FH$84)</f>
        <v/>
      </c>
      <c r="FI15" s="2" t="str">
        <f>IF(FI$13="","",MINDS!FI$84)</f>
        <v/>
      </c>
      <c r="FJ15" s="2" t="str">
        <f>IF(FJ$13="","",MINDS!FJ$84)</f>
        <v/>
      </c>
      <c r="FK15" s="2" t="str">
        <f>IF(FK$13="","",MINDS!FK$84)</f>
        <v/>
      </c>
      <c r="FL15" s="2" t="str">
        <f>IF(FL$13="","",MINDS!FL$84)</f>
        <v/>
      </c>
      <c r="FM15" s="2" t="str">
        <f>IF(FM$13="","",MINDS!FM$84)</f>
        <v/>
      </c>
      <c r="FN15" s="2" t="str">
        <f>IF(FN$13="","",MINDS!FN$84)</f>
        <v/>
      </c>
      <c r="FO15" s="2" t="str">
        <f>IF(FO$13="","",MINDS!FO$84)</f>
        <v/>
      </c>
      <c r="FP15" s="2" t="str">
        <f>IF(FP$13="","",MINDS!FP$84)</f>
        <v/>
      </c>
      <c r="FQ15" s="2" t="str">
        <f>IF(FQ$13="","",MINDS!FQ$84)</f>
        <v/>
      </c>
      <c r="FR15" s="2" t="str">
        <f>IF(FR$13="","",MINDS!FR$84)</f>
        <v/>
      </c>
      <c r="FS15" s="2" t="str">
        <f>IF(FS$13="","",MINDS!FS$84)</f>
        <v/>
      </c>
      <c r="FT15" s="2" t="str">
        <f>IF(FT$13="","",MINDS!FT$84)</f>
        <v/>
      </c>
      <c r="FU15" s="2" t="str">
        <f>IF(FU$13="","",MINDS!FU$84)</f>
        <v/>
      </c>
      <c r="FV15" s="2" t="str">
        <f>IF(FV$13="","",MINDS!FV$84)</f>
        <v/>
      </c>
      <c r="FW15" s="2" t="str">
        <f>IF(FW$13="","",MINDS!FW$84)</f>
        <v/>
      </c>
      <c r="FX15" s="2" t="str">
        <f>IF(FX$13="","",MINDS!FX$84)</f>
        <v/>
      </c>
      <c r="FY15" s="2" t="str">
        <f>IF(FY$13="","",MINDS!FY$84)</f>
        <v/>
      </c>
      <c r="FZ15" s="2" t="str">
        <f>IF(FZ$13="","",MINDS!FZ$84)</f>
        <v/>
      </c>
      <c r="GA15" s="2" t="str">
        <f>IF(GA$13="","",MINDS!GA$84)</f>
        <v/>
      </c>
      <c r="GB15" s="2" t="str">
        <f>IF(GB$13="","",MINDS!GB$84)</f>
        <v/>
      </c>
      <c r="GC15" s="2" t="str">
        <f>IF(GC$13="","",MINDS!GC$84)</f>
        <v/>
      </c>
      <c r="GD15" s="2" t="str">
        <f>IF(GD$13="","",MINDS!GD$84)</f>
        <v/>
      </c>
      <c r="GE15" s="2" t="str">
        <f>IF(GE$13="","",MINDS!GE$84)</f>
        <v/>
      </c>
      <c r="GF15" s="2" t="str">
        <f>IF(GF$13="","",MINDS!GF$84)</f>
        <v/>
      </c>
      <c r="GG15" s="2" t="str">
        <f>IF(GG$13="","",MINDS!GG$84)</f>
        <v/>
      </c>
      <c r="GH15" s="2" t="str">
        <f>IF(GH$13="","",MINDS!GH$84)</f>
        <v/>
      </c>
      <c r="GI15" s="2" t="str">
        <f>IF(GI$13="","",MINDS!GI$84)</f>
        <v/>
      </c>
      <c r="GJ15" s="2" t="str">
        <f>IF(GJ$13="","",MINDS!GJ$84)</f>
        <v/>
      </c>
      <c r="GK15" s="2" t="str">
        <f>IF(GK$13="","",MINDS!GK$84)</f>
        <v/>
      </c>
      <c r="GL15" s="2" t="str">
        <f>IF(GL$13="","",MINDS!GL$84)</f>
        <v/>
      </c>
      <c r="GM15" s="2" t="str">
        <f>IF(GM$13="","",MINDS!GM$84)</f>
        <v/>
      </c>
      <c r="GN15" s="2" t="str">
        <f>IF(GN$13="","",MINDS!GN$84)</f>
        <v/>
      </c>
      <c r="GO15" s="2" t="str">
        <f>IF(GO$13="","",MINDS!GO$84)</f>
        <v/>
      </c>
      <c r="GP15" s="2" t="str">
        <f>IF(GP$13="","",MINDS!GP$84)</f>
        <v/>
      </c>
      <c r="GQ15" s="2" t="str">
        <f>IF(GQ$13="","",MINDS!GQ$84)</f>
        <v/>
      </c>
      <c r="GR15" s="2" t="str">
        <f>IF(GR$13="","",MINDS!GR$84)</f>
        <v/>
      </c>
      <c r="GS15" s="2" t="str">
        <f>IF(GS$13="","",MINDS!GS$84)</f>
        <v/>
      </c>
      <c r="GT15" s="2" t="str">
        <f>IF(GT$13="","",MINDS!GT$84)</f>
        <v/>
      </c>
      <c r="GU15" s="2" t="str">
        <f>IF(GU$13="","",MINDS!GU$84)</f>
        <v/>
      </c>
      <c r="GV15" s="2" t="str">
        <f>IF(GV$13="","",MINDS!GV$84)</f>
        <v/>
      </c>
      <c r="GW15" s="2" t="str">
        <f>IF(GW$13="","",MINDS!GW$84)</f>
        <v/>
      </c>
      <c r="GX15" s="2" t="str">
        <f>IF(GX$13="","",MINDS!GX$84)</f>
        <v/>
      </c>
      <c r="GY15" s="2" t="str">
        <f>IF(GY$13="","",MINDS!GY$84)</f>
        <v/>
      </c>
      <c r="GZ15" s="2" t="str">
        <f>IF(GZ$13="","",MINDS!GZ$84)</f>
        <v/>
      </c>
      <c r="HA15" s="2" t="str">
        <f>IF(HA$13="","",MINDS!HA$84)</f>
        <v/>
      </c>
      <c r="HB15" s="2" t="str">
        <f>IF(HB$13="","",MINDS!HB$84)</f>
        <v/>
      </c>
      <c r="HC15" s="2" t="str">
        <f>IF(HC$13="","",MINDS!HC$84)</f>
        <v/>
      </c>
      <c r="HD15" s="2" t="str">
        <f>IF(HD$13="","",MINDS!HD$84)</f>
        <v/>
      </c>
      <c r="HE15" s="2" t="str">
        <f>IF(HE$13="","",MINDS!HE$84)</f>
        <v/>
      </c>
      <c r="HF15" s="2" t="str">
        <f>IF(HF$13="","",MINDS!HF$84)</f>
        <v/>
      </c>
      <c r="HG15" s="2" t="str">
        <f>IF(HG$13="","",MINDS!HG$84)</f>
        <v/>
      </c>
      <c r="HH15" s="2" t="str">
        <f>IF(HH$13="","",MINDS!HH$84)</f>
        <v/>
      </c>
      <c r="HI15" s="2" t="str">
        <f>IF(HI$13="","",MINDS!HI$84)</f>
        <v/>
      </c>
      <c r="HJ15" s="2" t="str">
        <f>IF(HJ$13="","",MINDS!HJ$84)</f>
        <v/>
      </c>
      <c r="HK15" s="2" t="str">
        <f>IF(HK$13="","",MINDS!HK$84)</f>
        <v/>
      </c>
      <c r="HL15" s="2" t="str">
        <f>IF(HL$13="","",MINDS!HL$84)</f>
        <v/>
      </c>
      <c r="HM15" s="2" t="str">
        <f>IF(HM$13="","",MINDS!HM$84)</f>
        <v/>
      </c>
      <c r="HN15" s="2" t="str">
        <f>IF(HN$13="","",MINDS!HN$84)</f>
        <v/>
      </c>
      <c r="HO15" s="2" t="str">
        <f>IF(HO$13="","",MINDS!HO$84)</f>
        <v/>
      </c>
      <c r="HP15" s="2" t="str">
        <f>IF(HP$13="","",MINDS!HP$84)</f>
        <v/>
      </c>
      <c r="HQ15" s="2" t="str">
        <f>IF(HQ$13="","",MINDS!HQ$84)</f>
        <v/>
      </c>
      <c r="HR15" s="2" t="str">
        <f>IF(HR$13="","",MINDS!HR$84)</f>
        <v/>
      </c>
      <c r="HS15" s="2" t="str">
        <f>IF(HS$13="","",MINDS!HS$84)</f>
        <v/>
      </c>
      <c r="HT15" s="2" t="str">
        <f>IF(HT$13="","",MINDS!HT$84)</f>
        <v/>
      </c>
      <c r="HU15" s="2" t="str">
        <f>IF(HU$13="","",MINDS!HU$84)</f>
        <v/>
      </c>
      <c r="HV15" s="2" t="str">
        <f>IF(HV$13="","",MINDS!HV$84)</f>
        <v/>
      </c>
      <c r="HW15" s="2" t="str">
        <f>IF(HW$13="","",MINDS!HW$84)</f>
        <v/>
      </c>
      <c r="HX15" s="2" t="str">
        <f>IF(HX$13="","",MINDS!HX$84)</f>
        <v/>
      </c>
      <c r="HY15" s="2" t="str">
        <f>IF(HY$13="","",MINDS!HY$84)</f>
        <v/>
      </c>
      <c r="HZ15" s="2" t="str">
        <f>IF(HZ$13="","",MINDS!HZ$84)</f>
        <v/>
      </c>
      <c r="IA15" s="2" t="str">
        <f>IF(IA$13="","",MINDS!IA$84)</f>
        <v/>
      </c>
      <c r="IB15" s="2" t="str">
        <f>IF(IB$13="","",MINDS!IB$84)</f>
        <v/>
      </c>
      <c r="IC15" s="2" t="str">
        <f>IF(IC$13="","",MINDS!IC$84)</f>
        <v/>
      </c>
      <c r="ID15" s="2" t="str">
        <f>IF(ID$13="","",MINDS!ID$84)</f>
        <v/>
      </c>
      <c r="IE15" s="2" t="str">
        <f>IF(IE$13="","",MINDS!IE$84)</f>
        <v/>
      </c>
      <c r="IF15" s="2" t="str">
        <f>IF(IF$13="","",MINDS!IF$84)</f>
        <v/>
      </c>
      <c r="IG15" s="2" t="str">
        <f>IF(IG$13="","",MINDS!IG$84)</f>
        <v/>
      </c>
      <c r="IH15" s="2" t="str">
        <f>IF(IH$13="","",MINDS!IH$84)</f>
        <v/>
      </c>
      <c r="II15" s="2" t="str">
        <f>IF(II$13="","",MINDS!II$84)</f>
        <v/>
      </c>
      <c r="IJ15" s="2" t="str">
        <f>IF(IJ$13="","",MINDS!IJ$84)</f>
        <v/>
      </c>
      <c r="IK15" s="2" t="str">
        <f>IF(IK$13="","",MINDS!IK$84)</f>
        <v/>
      </c>
      <c r="IL15" s="2" t="str">
        <f>IF(IL$13="","",MINDS!IL$84)</f>
        <v/>
      </c>
      <c r="IM15" s="2" t="str">
        <f>IF(IM$13="","",MINDS!IM$84)</f>
        <v/>
      </c>
      <c r="IN15" s="2" t="str">
        <f>IF(IN$13="","",MINDS!IN$84)</f>
        <v/>
      </c>
      <c r="IO15" s="2" t="str">
        <f>IF(IO$13="","",MINDS!IO$84)</f>
        <v/>
      </c>
      <c r="IP15" s="2" t="str">
        <f>IF(IP$13="","",MINDS!IP$84)</f>
        <v/>
      </c>
      <c r="IQ15" s="2" t="str">
        <f>IF(IQ$13="","",MINDS!IQ$84)</f>
        <v/>
      </c>
      <c r="IR15" s="2" t="str">
        <f>IF(IR$13="","",MINDS!IR$84)</f>
        <v/>
      </c>
      <c r="IS15" s="2" t="str">
        <f>IF(IS$13="","",MINDS!IS$84)</f>
        <v/>
      </c>
      <c r="IT15" s="2" t="str">
        <f>IF(IT$13="","",MINDS!IT$84)</f>
        <v/>
      </c>
      <c r="IU15" s="2" t="str">
        <f>IF(IU$13="","",MINDS!IU$84)</f>
        <v/>
      </c>
      <c r="IV15" s="2" t="str">
        <f>IF(IV$13="","",MINDS!IV$84)</f>
        <v/>
      </c>
    </row>
    <row r="16" spans="1:256" x14ac:dyDescent="0.2">
      <c r="A16" s="3" t="s">
        <v>33</v>
      </c>
      <c r="C16" s="2" t="str">
        <f>IF(ISNUMBER(MINDS!C$86),MINDS!C$86," "&amp;MINDS!C$86)</f>
        <v xml:space="preserve"> </v>
      </c>
      <c r="D16" s="2" t="str">
        <f>IF(ISNUMBER(MINDS!D$86),MINDS!D$86," "&amp;MINDS!D$86)</f>
        <v xml:space="preserve"> </v>
      </c>
      <c r="E16" s="2" t="str">
        <f>IF(ISNUMBER(MINDS!E$86),MINDS!E$86," "&amp;MINDS!E$86)</f>
        <v xml:space="preserve"> </v>
      </c>
      <c r="F16" s="2" t="str">
        <f>IF(ISNUMBER(MINDS!F$86),MINDS!F$86," "&amp;MINDS!F$86)</f>
        <v xml:space="preserve"> </v>
      </c>
      <c r="G16" s="2" t="str">
        <f>IF(ISNUMBER(MINDS!G$86),MINDS!G$86," "&amp;MINDS!G$86)</f>
        <v xml:space="preserve"> </v>
      </c>
      <c r="H16" s="2" t="str">
        <f>IF(ISNUMBER(MINDS!H$86),MINDS!H$86," "&amp;MINDS!H$86)</f>
        <v xml:space="preserve"> </v>
      </c>
      <c r="I16" s="2" t="str">
        <f>IF(ISNUMBER(MINDS!I$86),MINDS!I$86," "&amp;MINDS!I$86)</f>
        <v xml:space="preserve"> </v>
      </c>
      <c r="J16" s="2" t="str">
        <f>IF(ISNUMBER(MINDS!J$86),MINDS!J$86," "&amp;MINDS!J$86)</f>
        <v xml:space="preserve"> </v>
      </c>
      <c r="K16" s="2" t="str">
        <f>IF(ISNUMBER(MINDS!K$86),MINDS!K$86," "&amp;MINDS!K$86)</f>
        <v xml:space="preserve"> </v>
      </c>
      <c r="L16" s="2" t="str">
        <f>IF(ISNUMBER(MINDS!L$86),MINDS!L$86," "&amp;MINDS!L$86)</f>
        <v xml:space="preserve"> </v>
      </c>
      <c r="M16" s="2" t="str">
        <f>IF(ISNUMBER(MINDS!M$86),MINDS!M$86," "&amp;MINDS!M$86)</f>
        <v xml:space="preserve"> </v>
      </c>
      <c r="N16" s="2" t="str">
        <f>IF(ISNUMBER(MINDS!N$86),MINDS!N$86," "&amp;MINDS!N$86)</f>
        <v xml:space="preserve"> </v>
      </c>
      <c r="O16" s="2" t="str">
        <f>IF(ISNUMBER(MINDS!O$86),MINDS!O$86," "&amp;MINDS!O$86)</f>
        <v xml:space="preserve"> </v>
      </c>
      <c r="P16" s="2" t="str">
        <f>IF(ISNUMBER(MINDS!P$86),MINDS!P$86," "&amp;MINDS!P$86)</f>
        <v xml:space="preserve"> </v>
      </c>
      <c r="Q16" s="2" t="str">
        <f>IF(ISNUMBER(MINDS!Q$86),MINDS!Q$86," "&amp;MINDS!Q$86)</f>
        <v xml:space="preserve"> </v>
      </c>
      <c r="R16" s="2" t="str">
        <f>IF(ISNUMBER(MINDS!R$86),MINDS!R$86," "&amp;MINDS!R$86)</f>
        <v xml:space="preserve"> </v>
      </c>
      <c r="S16" s="2" t="str">
        <f>IF(ISNUMBER(MINDS!S$86),MINDS!S$86," "&amp;MINDS!S$86)</f>
        <v xml:space="preserve"> </v>
      </c>
      <c r="T16" s="2" t="str">
        <f>IF(ISNUMBER(MINDS!T$86),MINDS!T$86," "&amp;MINDS!T$86)</f>
        <v xml:space="preserve"> </v>
      </c>
      <c r="U16" s="2" t="str">
        <f>IF(ISNUMBER(MINDS!U$86),MINDS!U$86," "&amp;MINDS!U$86)</f>
        <v xml:space="preserve"> </v>
      </c>
      <c r="V16" s="2" t="str">
        <f>IF(ISNUMBER(MINDS!V$86),MINDS!V$86," "&amp;MINDS!V$86)</f>
        <v xml:space="preserve"> </v>
      </c>
      <c r="W16" s="2" t="str">
        <f>IF(ISNUMBER(MINDS!W$86),MINDS!W$86," "&amp;MINDS!W$86)</f>
        <v xml:space="preserve"> </v>
      </c>
      <c r="X16" s="2" t="str">
        <f>IF(ISNUMBER(MINDS!X$86),MINDS!X$86," "&amp;MINDS!X$86)</f>
        <v xml:space="preserve"> </v>
      </c>
      <c r="Y16" s="2" t="str">
        <f>IF(ISNUMBER(MINDS!Y$86),MINDS!Y$86," "&amp;MINDS!Y$86)</f>
        <v xml:space="preserve"> </v>
      </c>
      <c r="Z16" s="2" t="str">
        <f>IF(ISNUMBER(MINDS!Z$86),MINDS!Z$86," "&amp;MINDS!Z$86)</f>
        <v xml:space="preserve"> </v>
      </c>
      <c r="AA16" s="2" t="str">
        <f>IF(ISNUMBER(MINDS!AA$86),MINDS!AA$86," "&amp;MINDS!AA$86)</f>
        <v xml:space="preserve"> </v>
      </c>
      <c r="AB16" s="2" t="str">
        <f>IF(ISNUMBER(MINDS!AB$86),MINDS!AB$86," "&amp;MINDS!AB$86)</f>
        <v xml:space="preserve"> </v>
      </c>
      <c r="AC16" s="2" t="str">
        <f>IF(ISNUMBER(MINDS!AC$86),MINDS!AC$86," "&amp;MINDS!AC$86)</f>
        <v xml:space="preserve"> </v>
      </c>
      <c r="AD16" s="2" t="str">
        <f>IF(ISNUMBER(MINDS!AD$86),MINDS!AD$86," "&amp;MINDS!AD$86)</f>
        <v xml:space="preserve"> </v>
      </c>
      <c r="AE16" s="2" t="str">
        <f>IF(ISNUMBER(MINDS!AE$86),MINDS!AE$86," "&amp;MINDS!AE$86)</f>
        <v xml:space="preserve"> </v>
      </c>
      <c r="AF16" s="2" t="str">
        <f>IF(ISNUMBER(MINDS!AF$86),MINDS!AF$86," "&amp;MINDS!AF$86)</f>
        <v xml:space="preserve"> </v>
      </c>
      <c r="AG16" s="2" t="str">
        <f>IF(ISNUMBER(MINDS!AG$86),MINDS!AG$86," "&amp;MINDS!AG$86)</f>
        <v xml:space="preserve"> </v>
      </c>
      <c r="AH16" s="2" t="str">
        <f>IF(ISNUMBER(MINDS!AH$86),MINDS!AH$86," "&amp;MINDS!AH$86)</f>
        <v xml:space="preserve"> </v>
      </c>
      <c r="AI16" s="2" t="str">
        <f>IF(ISNUMBER(MINDS!AI$86),MINDS!AI$86," "&amp;MINDS!AI$86)</f>
        <v xml:space="preserve"> </v>
      </c>
      <c r="AJ16" s="2" t="str">
        <f>IF(ISNUMBER(MINDS!AJ$86),MINDS!AJ$86," "&amp;MINDS!AJ$86)</f>
        <v xml:space="preserve"> </v>
      </c>
      <c r="AK16" s="2" t="str">
        <f>IF(ISNUMBER(MINDS!AK$86),MINDS!AK$86," "&amp;MINDS!AK$86)</f>
        <v xml:space="preserve"> </v>
      </c>
      <c r="AL16" s="2" t="str">
        <f>IF(ISNUMBER(MINDS!AL$86),MINDS!AL$86," "&amp;MINDS!AL$86)</f>
        <v xml:space="preserve"> </v>
      </c>
      <c r="AM16" s="2" t="str">
        <f>IF(ISNUMBER(MINDS!AM$86),MINDS!AM$86," "&amp;MINDS!AM$86)</f>
        <v xml:space="preserve"> </v>
      </c>
      <c r="AN16" s="2" t="str">
        <f>IF(ISNUMBER(MINDS!AN$86),MINDS!AN$86," "&amp;MINDS!AN$86)</f>
        <v xml:space="preserve"> </v>
      </c>
      <c r="AO16" s="2" t="str">
        <f>IF(ISNUMBER(MINDS!AO$86),MINDS!AO$86," "&amp;MINDS!AO$86)</f>
        <v xml:space="preserve"> </v>
      </c>
      <c r="AP16" s="2" t="str">
        <f>IF(ISNUMBER(MINDS!AP$86),MINDS!AP$86," "&amp;MINDS!AP$86)</f>
        <v xml:space="preserve"> </v>
      </c>
      <c r="AQ16" s="2" t="str">
        <f>IF(ISNUMBER(MINDS!AQ$86),MINDS!AQ$86," "&amp;MINDS!AQ$86)</f>
        <v xml:space="preserve"> </v>
      </c>
      <c r="AR16" s="2" t="str">
        <f>IF(ISNUMBER(MINDS!AR$86),MINDS!AR$86," "&amp;MINDS!AR$86)</f>
        <v xml:space="preserve"> </v>
      </c>
      <c r="AS16" s="2" t="str">
        <f>IF(ISNUMBER(MINDS!AS$86),MINDS!AS$86," "&amp;MINDS!AS$86)</f>
        <v xml:space="preserve"> </v>
      </c>
      <c r="AT16" s="2" t="str">
        <f>IF(ISNUMBER(MINDS!AT$86),MINDS!AT$86," "&amp;MINDS!AT$86)</f>
        <v xml:space="preserve"> </v>
      </c>
      <c r="AU16" s="2" t="str">
        <f>IF(ISNUMBER(MINDS!AU$86),MINDS!AU$86," "&amp;MINDS!AU$86)</f>
        <v xml:space="preserve"> </v>
      </c>
      <c r="AV16" s="2" t="str">
        <f>IF(ISNUMBER(MINDS!AV$86),MINDS!AV$86," "&amp;MINDS!AV$86)</f>
        <v xml:space="preserve"> </v>
      </c>
      <c r="AW16" s="2" t="str">
        <f>IF(ISNUMBER(MINDS!AW$86),MINDS!AW$86," "&amp;MINDS!AW$86)</f>
        <v xml:space="preserve"> </v>
      </c>
      <c r="AX16" s="2" t="str">
        <f>IF(ISNUMBER(MINDS!AX$86),MINDS!AX$86," "&amp;MINDS!AX$86)</f>
        <v xml:space="preserve"> </v>
      </c>
      <c r="AY16" s="2" t="str">
        <f>IF(ISNUMBER(MINDS!AY$86),MINDS!AY$86," "&amp;MINDS!AY$86)</f>
        <v xml:space="preserve"> </v>
      </c>
      <c r="AZ16" s="2" t="str">
        <f>IF(ISNUMBER(MINDS!AZ$86),MINDS!AZ$86," "&amp;MINDS!AZ$86)</f>
        <v xml:space="preserve"> </v>
      </c>
      <c r="BA16" s="2" t="str">
        <f>IF(ISNUMBER(MINDS!BA$86),MINDS!BA$86," "&amp;MINDS!BA$86)</f>
        <v xml:space="preserve"> </v>
      </c>
      <c r="BB16" s="2" t="str">
        <f>IF(ISNUMBER(MINDS!BB$86),MINDS!BB$86," "&amp;MINDS!BB$86)</f>
        <v xml:space="preserve"> </v>
      </c>
      <c r="BC16" s="2" t="str">
        <f>IF(ISNUMBER(MINDS!BC$86),MINDS!BC$86," "&amp;MINDS!BC$86)</f>
        <v xml:space="preserve"> </v>
      </c>
      <c r="BD16" s="2" t="str">
        <f>IF(ISNUMBER(MINDS!BD$86),MINDS!BD$86," "&amp;MINDS!BD$86)</f>
        <v xml:space="preserve"> </v>
      </c>
      <c r="BE16" s="2" t="str">
        <f>IF(ISNUMBER(MINDS!BE$86),MINDS!BE$86," "&amp;MINDS!BE$86)</f>
        <v xml:space="preserve"> </v>
      </c>
      <c r="BF16" s="2" t="str">
        <f>IF(ISNUMBER(MINDS!BF$86),MINDS!BF$86," "&amp;MINDS!BF$86)</f>
        <v xml:space="preserve"> </v>
      </c>
      <c r="BG16" s="2" t="str">
        <f>IF(ISNUMBER(MINDS!BG$86),MINDS!BG$86," "&amp;MINDS!BG$86)</f>
        <v xml:space="preserve"> </v>
      </c>
      <c r="BH16" s="2" t="str">
        <f>IF(ISNUMBER(MINDS!BH$86),MINDS!BH$86," "&amp;MINDS!BH$86)</f>
        <v xml:space="preserve"> </v>
      </c>
      <c r="BI16" s="2" t="str">
        <f>IF(ISNUMBER(MINDS!BI$86),MINDS!BI$86," "&amp;MINDS!BI$86)</f>
        <v xml:space="preserve"> </v>
      </c>
      <c r="BJ16" s="2" t="str">
        <f>IF(ISNUMBER(MINDS!BJ$86),MINDS!BJ$86," "&amp;MINDS!BJ$86)</f>
        <v xml:space="preserve"> </v>
      </c>
      <c r="BK16" s="2" t="str">
        <f>IF(ISNUMBER(MINDS!BK$86),MINDS!BK$86," "&amp;MINDS!BK$86)</f>
        <v xml:space="preserve"> </v>
      </c>
      <c r="BL16" s="2" t="str">
        <f>IF(ISNUMBER(MINDS!BL$86),MINDS!BL$86," "&amp;MINDS!BL$86)</f>
        <v xml:space="preserve"> </v>
      </c>
      <c r="BM16" s="2" t="str">
        <f>IF(ISNUMBER(MINDS!BM$86),MINDS!BM$86," "&amp;MINDS!BM$86)</f>
        <v xml:space="preserve"> </v>
      </c>
      <c r="BN16" s="2" t="str">
        <f>IF(ISNUMBER(MINDS!BN$86),MINDS!BN$86," "&amp;MINDS!BN$86)</f>
        <v xml:space="preserve"> </v>
      </c>
      <c r="BO16" s="2" t="str">
        <f>IF(ISNUMBER(MINDS!BO$86),MINDS!BO$86," "&amp;MINDS!BO$86)</f>
        <v xml:space="preserve"> </v>
      </c>
      <c r="BP16" s="2" t="str">
        <f>IF(ISNUMBER(MINDS!BP$86),MINDS!BP$86," "&amp;MINDS!BP$86)</f>
        <v xml:space="preserve"> </v>
      </c>
      <c r="BQ16" s="2" t="str">
        <f>IF(ISNUMBER(MINDS!BQ$86),MINDS!BQ$86," "&amp;MINDS!BQ$86)</f>
        <v xml:space="preserve"> </v>
      </c>
      <c r="BR16" s="2" t="str">
        <f>IF(ISNUMBER(MINDS!BR$86),MINDS!BR$86," "&amp;MINDS!BR$86)</f>
        <v xml:space="preserve"> </v>
      </c>
      <c r="BS16" s="2" t="str">
        <f>IF(ISNUMBER(MINDS!BS$86),MINDS!BS$86," "&amp;MINDS!BS$86)</f>
        <v xml:space="preserve"> </v>
      </c>
      <c r="BT16" s="2" t="str">
        <f>IF(ISNUMBER(MINDS!BT$86),MINDS!BT$86," "&amp;MINDS!BT$86)</f>
        <v xml:space="preserve"> </v>
      </c>
      <c r="BU16" s="2" t="str">
        <f>IF(ISNUMBER(MINDS!BU$86),MINDS!BU$86," "&amp;MINDS!BU$86)</f>
        <v xml:space="preserve"> </v>
      </c>
      <c r="BV16" s="2" t="str">
        <f>IF(ISNUMBER(MINDS!BV$86),MINDS!BV$86," "&amp;MINDS!BV$86)</f>
        <v xml:space="preserve"> </v>
      </c>
      <c r="BW16" s="2" t="str">
        <f>IF(ISNUMBER(MINDS!BW$86),MINDS!BW$86," "&amp;MINDS!BW$86)</f>
        <v xml:space="preserve"> </v>
      </c>
      <c r="BX16" s="2" t="str">
        <f>IF(ISNUMBER(MINDS!BX$86),MINDS!BX$86," "&amp;MINDS!BX$86)</f>
        <v xml:space="preserve"> </v>
      </c>
      <c r="BY16" s="2" t="str">
        <f>IF(ISNUMBER(MINDS!BY$86),MINDS!BY$86," "&amp;MINDS!BY$86)</f>
        <v xml:space="preserve"> </v>
      </c>
      <c r="BZ16" s="2" t="str">
        <f>IF(ISNUMBER(MINDS!BZ$86),MINDS!BZ$86," "&amp;MINDS!BZ$86)</f>
        <v xml:space="preserve"> </v>
      </c>
      <c r="CA16" s="2" t="str">
        <f>IF(ISNUMBER(MINDS!CA$86),MINDS!CA$86," "&amp;MINDS!CA$86)</f>
        <v xml:space="preserve"> </v>
      </c>
      <c r="CB16" s="2" t="str">
        <f>IF(ISNUMBER(MINDS!CB$86),MINDS!CB$86," "&amp;MINDS!CB$86)</f>
        <v xml:space="preserve"> </v>
      </c>
      <c r="CC16" s="2" t="str">
        <f>IF(ISNUMBER(MINDS!CC$86),MINDS!CC$86," "&amp;MINDS!CC$86)</f>
        <v xml:space="preserve"> </v>
      </c>
      <c r="CD16" s="2" t="str">
        <f>IF(ISNUMBER(MINDS!CD$86),MINDS!CD$86," "&amp;MINDS!CD$86)</f>
        <v xml:space="preserve"> </v>
      </c>
      <c r="CE16" s="2" t="str">
        <f>IF(ISNUMBER(MINDS!CE$86),MINDS!CE$86," "&amp;MINDS!CE$86)</f>
        <v xml:space="preserve"> </v>
      </c>
      <c r="CF16" s="2" t="str">
        <f>IF(ISNUMBER(MINDS!CF$86),MINDS!CF$86," "&amp;MINDS!CF$86)</f>
        <v xml:space="preserve"> </v>
      </c>
      <c r="CG16" s="2" t="str">
        <f>IF(ISNUMBER(MINDS!CG$86),MINDS!CG$86," "&amp;MINDS!CG$86)</f>
        <v xml:space="preserve"> </v>
      </c>
      <c r="CH16" s="2" t="str">
        <f>IF(ISNUMBER(MINDS!CH$86),MINDS!CH$86," "&amp;MINDS!CH$86)</f>
        <v xml:space="preserve"> </v>
      </c>
      <c r="CI16" s="2" t="str">
        <f>IF(ISNUMBER(MINDS!CI$86),MINDS!CI$86," "&amp;MINDS!CI$86)</f>
        <v xml:space="preserve"> </v>
      </c>
      <c r="CJ16" s="2" t="str">
        <f>IF(ISNUMBER(MINDS!CJ$86),MINDS!CJ$86," "&amp;MINDS!CJ$86)</f>
        <v xml:space="preserve"> </v>
      </c>
      <c r="CK16" s="2" t="str">
        <f>IF(ISNUMBER(MINDS!CK$86),MINDS!CK$86," "&amp;MINDS!CK$86)</f>
        <v xml:space="preserve"> </v>
      </c>
      <c r="CL16" s="2" t="str">
        <f>IF(ISNUMBER(MINDS!CL$86),MINDS!CL$86," "&amp;MINDS!CL$86)</f>
        <v xml:space="preserve"> </v>
      </c>
      <c r="CM16" s="2" t="str">
        <f>IF(ISNUMBER(MINDS!CM$86),MINDS!CM$86," "&amp;MINDS!CM$86)</f>
        <v xml:space="preserve"> </v>
      </c>
      <c r="CN16" s="2" t="str">
        <f>IF(ISNUMBER(MINDS!CN$86),MINDS!CN$86," "&amp;MINDS!CN$86)</f>
        <v xml:space="preserve"> </v>
      </c>
      <c r="CO16" s="2" t="str">
        <f>IF(ISNUMBER(MINDS!CO$86),MINDS!CO$86," "&amp;MINDS!CO$86)</f>
        <v xml:space="preserve"> </v>
      </c>
      <c r="CP16" s="2" t="str">
        <f>IF(ISNUMBER(MINDS!CP$86),MINDS!CP$86," "&amp;MINDS!CP$86)</f>
        <v xml:space="preserve"> </v>
      </c>
      <c r="CQ16" s="2" t="str">
        <f>IF(ISNUMBER(MINDS!CQ$86),MINDS!CQ$86," "&amp;MINDS!CQ$86)</f>
        <v xml:space="preserve"> </v>
      </c>
      <c r="CR16" s="2" t="str">
        <f>IF(ISNUMBER(MINDS!CR$86),MINDS!CR$86," "&amp;MINDS!CR$86)</f>
        <v xml:space="preserve"> </v>
      </c>
      <c r="CS16" s="2" t="str">
        <f>IF(ISNUMBER(MINDS!CS$86),MINDS!CS$86," "&amp;MINDS!CS$86)</f>
        <v xml:space="preserve"> </v>
      </c>
      <c r="CT16" s="2" t="str">
        <f>IF(ISNUMBER(MINDS!CT$86),MINDS!CT$86," "&amp;MINDS!CT$86)</f>
        <v xml:space="preserve"> </v>
      </c>
      <c r="CU16" s="2" t="str">
        <f>IF(ISNUMBER(MINDS!CU$86),MINDS!CU$86," "&amp;MINDS!CU$86)</f>
        <v xml:space="preserve"> </v>
      </c>
      <c r="CV16" s="2" t="str">
        <f>IF(ISNUMBER(MINDS!CV$86),MINDS!CV$86," "&amp;MINDS!CV$86)</f>
        <v xml:space="preserve"> </v>
      </c>
      <c r="CW16" s="2" t="str">
        <f>IF(ISNUMBER(MINDS!CW$86),MINDS!CW$86," "&amp;MINDS!CW$86)</f>
        <v xml:space="preserve"> </v>
      </c>
      <c r="CX16" s="2" t="str">
        <f>IF(ISNUMBER(MINDS!CX$86),MINDS!CX$86," "&amp;MINDS!CX$86)</f>
        <v xml:space="preserve"> </v>
      </c>
      <c r="CY16" s="2" t="str">
        <f>IF(ISNUMBER(MINDS!CY$86),MINDS!CY$86," "&amp;MINDS!CY$86)</f>
        <v xml:space="preserve"> </v>
      </c>
      <c r="CZ16" s="2" t="str">
        <f>IF(ISNUMBER(MINDS!CZ$86),MINDS!CZ$86," "&amp;MINDS!CZ$86)</f>
        <v xml:space="preserve"> </v>
      </c>
      <c r="DA16" s="2" t="str">
        <f>IF(ISNUMBER(MINDS!DA$86),MINDS!DA$86," "&amp;MINDS!DA$86)</f>
        <v xml:space="preserve"> </v>
      </c>
      <c r="DB16" s="2" t="str">
        <f>IF(ISNUMBER(MINDS!DB$86),MINDS!DB$86," "&amp;MINDS!DB$86)</f>
        <v xml:space="preserve"> </v>
      </c>
      <c r="DC16" s="2" t="str">
        <f>IF(ISNUMBER(MINDS!DC$86),MINDS!DC$86," "&amp;MINDS!DC$86)</f>
        <v xml:space="preserve"> </v>
      </c>
      <c r="DD16" s="2" t="str">
        <f>IF(ISNUMBER(MINDS!DD$86),MINDS!DD$86," "&amp;MINDS!DD$86)</f>
        <v xml:space="preserve"> </v>
      </c>
      <c r="DE16" s="2" t="str">
        <f>IF(ISNUMBER(MINDS!DE$86),MINDS!DE$86," "&amp;MINDS!DE$86)</f>
        <v xml:space="preserve"> </v>
      </c>
      <c r="DF16" s="2" t="str">
        <f>IF(ISNUMBER(MINDS!DF$86),MINDS!DF$86," "&amp;MINDS!DF$86)</f>
        <v xml:space="preserve"> </v>
      </c>
      <c r="DG16" s="2" t="str">
        <f>IF(ISNUMBER(MINDS!DG$86),MINDS!DG$86," "&amp;MINDS!DG$86)</f>
        <v xml:space="preserve"> </v>
      </c>
      <c r="DH16" s="2" t="str">
        <f>IF(ISNUMBER(MINDS!DH$86),MINDS!DH$86," "&amp;MINDS!DH$86)</f>
        <v xml:space="preserve"> </v>
      </c>
      <c r="DI16" s="2" t="str">
        <f>IF(ISNUMBER(MINDS!DI$86),MINDS!DI$86," "&amp;MINDS!DI$86)</f>
        <v xml:space="preserve"> </v>
      </c>
      <c r="DJ16" s="2" t="str">
        <f>IF(ISNUMBER(MINDS!DJ$86),MINDS!DJ$86," "&amp;MINDS!DJ$86)</f>
        <v xml:space="preserve"> </v>
      </c>
      <c r="DK16" s="2" t="str">
        <f>IF(ISNUMBER(MINDS!DK$86),MINDS!DK$86," "&amp;MINDS!DK$86)</f>
        <v xml:space="preserve"> </v>
      </c>
      <c r="DL16" s="2" t="str">
        <f>IF(ISNUMBER(MINDS!DL$86),MINDS!DL$86," "&amp;MINDS!DL$86)</f>
        <v xml:space="preserve"> </v>
      </c>
      <c r="DM16" s="2" t="str">
        <f>IF(ISNUMBER(MINDS!DM$86),MINDS!DM$86," "&amp;MINDS!DM$86)</f>
        <v xml:space="preserve"> </v>
      </c>
      <c r="DN16" s="2" t="str">
        <f>IF(ISNUMBER(MINDS!DN$86),MINDS!DN$86," "&amp;MINDS!DN$86)</f>
        <v xml:space="preserve"> </v>
      </c>
      <c r="DO16" s="2" t="str">
        <f>IF(ISNUMBER(MINDS!DO$86),MINDS!DO$86," "&amp;MINDS!DO$86)</f>
        <v xml:space="preserve"> </v>
      </c>
      <c r="DP16" s="2" t="str">
        <f>IF(ISNUMBER(MINDS!DP$86),MINDS!DP$86," "&amp;MINDS!DP$86)</f>
        <v xml:space="preserve"> </v>
      </c>
      <c r="DQ16" s="2" t="str">
        <f>IF(ISNUMBER(MINDS!DQ$86),MINDS!DQ$86," "&amp;MINDS!DQ$86)</f>
        <v xml:space="preserve"> </v>
      </c>
      <c r="DR16" s="2" t="str">
        <f>IF(ISNUMBER(MINDS!DR$86),MINDS!DR$86," "&amp;MINDS!DR$86)</f>
        <v xml:space="preserve"> </v>
      </c>
      <c r="DS16" s="2" t="str">
        <f>IF(ISNUMBER(MINDS!DS$86),MINDS!DS$86," "&amp;MINDS!DS$86)</f>
        <v xml:space="preserve"> </v>
      </c>
      <c r="DT16" s="2" t="str">
        <f>IF(ISNUMBER(MINDS!DT$86),MINDS!DT$86," "&amp;MINDS!DT$86)</f>
        <v xml:space="preserve"> </v>
      </c>
      <c r="DU16" s="2" t="str">
        <f>IF(ISNUMBER(MINDS!DU$86),MINDS!DU$86," "&amp;MINDS!DU$86)</f>
        <v xml:space="preserve"> </v>
      </c>
      <c r="DV16" s="2" t="str">
        <f>IF(ISNUMBER(MINDS!DV$86),MINDS!DV$86," "&amp;MINDS!DV$86)</f>
        <v xml:space="preserve"> </v>
      </c>
      <c r="DW16" s="2" t="str">
        <f>IF(ISNUMBER(MINDS!DW$86),MINDS!DW$86," "&amp;MINDS!DW$86)</f>
        <v xml:space="preserve"> </v>
      </c>
      <c r="DX16" s="2" t="str">
        <f>IF(ISNUMBER(MINDS!DX$86),MINDS!DX$86," "&amp;MINDS!DX$86)</f>
        <v xml:space="preserve"> </v>
      </c>
      <c r="DY16" s="2" t="str">
        <f>IF(ISNUMBER(MINDS!DY$86),MINDS!DY$86," "&amp;MINDS!DY$86)</f>
        <v xml:space="preserve"> </v>
      </c>
      <c r="DZ16" s="2" t="str">
        <f>IF(ISNUMBER(MINDS!DZ$86),MINDS!DZ$86," "&amp;MINDS!DZ$86)</f>
        <v xml:space="preserve"> </v>
      </c>
      <c r="EA16" s="2" t="str">
        <f>IF(ISNUMBER(MINDS!EA$86),MINDS!EA$86," "&amp;MINDS!EA$86)</f>
        <v xml:space="preserve"> </v>
      </c>
      <c r="EB16" s="2" t="str">
        <f>IF(ISNUMBER(MINDS!EB$86),MINDS!EB$86," "&amp;MINDS!EB$86)</f>
        <v xml:space="preserve"> </v>
      </c>
      <c r="EC16" s="2" t="str">
        <f>IF(ISNUMBER(MINDS!EC$86),MINDS!EC$86," "&amp;MINDS!EC$86)</f>
        <v xml:space="preserve"> </v>
      </c>
      <c r="ED16" s="2" t="str">
        <f>IF(ISNUMBER(MINDS!ED$86),MINDS!ED$86," "&amp;MINDS!ED$86)</f>
        <v xml:space="preserve"> </v>
      </c>
      <c r="EE16" s="2" t="str">
        <f>IF(ISNUMBER(MINDS!EE$86),MINDS!EE$86," "&amp;MINDS!EE$86)</f>
        <v xml:space="preserve"> </v>
      </c>
      <c r="EF16" s="2" t="str">
        <f>IF(ISNUMBER(MINDS!EF$86),MINDS!EF$86," "&amp;MINDS!EF$86)</f>
        <v xml:space="preserve"> </v>
      </c>
      <c r="EG16" s="2" t="str">
        <f>IF(ISNUMBER(MINDS!EG$86),MINDS!EG$86," "&amp;MINDS!EG$86)</f>
        <v xml:space="preserve"> </v>
      </c>
      <c r="EH16" s="2" t="str">
        <f>IF(ISNUMBER(MINDS!EH$86),MINDS!EH$86," "&amp;MINDS!EH$86)</f>
        <v xml:space="preserve"> </v>
      </c>
      <c r="EI16" s="2" t="str">
        <f>IF(ISNUMBER(MINDS!EI$86),MINDS!EI$86," "&amp;MINDS!EI$86)</f>
        <v xml:space="preserve"> </v>
      </c>
      <c r="EJ16" s="2" t="str">
        <f>IF(ISNUMBER(MINDS!EJ$86),MINDS!EJ$86," "&amp;MINDS!EJ$86)</f>
        <v xml:space="preserve"> </v>
      </c>
      <c r="EK16" s="2" t="str">
        <f>IF(ISNUMBER(MINDS!EK$86),MINDS!EK$86," "&amp;MINDS!EK$86)</f>
        <v xml:space="preserve"> </v>
      </c>
      <c r="EL16" s="2" t="str">
        <f>IF(ISNUMBER(MINDS!EL$86),MINDS!EL$86," "&amp;MINDS!EL$86)</f>
        <v xml:space="preserve"> </v>
      </c>
      <c r="EM16" s="2" t="str">
        <f>IF(ISNUMBER(MINDS!EM$86),MINDS!EM$86," "&amp;MINDS!EM$86)</f>
        <v xml:space="preserve"> </v>
      </c>
      <c r="EN16" s="2" t="str">
        <f>IF(ISNUMBER(MINDS!EN$86),MINDS!EN$86," "&amp;MINDS!EN$86)</f>
        <v xml:space="preserve"> </v>
      </c>
      <c r="EO16" s="2" t="str">
        <f>IF(ISNUMBER(MINDS!EO$86),MINDS!EO$86," "&amp;MINDS!EO$86)</f>
        <v xml:space="preserve"> </v>
      </c>
      <c r="EP16" s="2" t="str">
        <f>IF(ISNUMBER(MINDS!EP$86),MINDS!EP$86," "&amp;MINDS!EP$86)</f>
        <v xml:space="preserve"> </v>
      </c>
      <c r="EQ16" s="2" t="str">
        <f>IF(ISNUMBER(MINDS!EQ$86),MINDS!EQ$86," "&amp;MINDS!EQ$86)</f>
        <v xml:space="preserve"> </v>
      </c>
      <c r="ER16" s="2" t="str">
        <f>IF(ISNUMBER(MINDS!ER$86),MINDS!ER$86," "&amp;MINDS!ER$86)</f>
        <v xml:space="preserve"> </v>
      </c>
      <c r="ES16" s="2" t="str">
        <f>IF(ISNUMBER(MINDS!ES$86),MINDS!ES$86," "&amp;MINDS!ES$86)</f>
        <v xml:space="preserve"> </v>
      </c>
      <c r="ET16" s="2" t="str">
        <f>IF(ISNUMBER(MINDS!ET$86),MINDS!ET$86," "&amp;MINDS!ET$86)</f>
        <v xml:space="preserve"> </v>
      </c>
      <c r="EU16" s="2" t="str">
        <f>IF(ISNUMBER(MINDS!EU$86),MINDS!EU$86," "&amp;MINDS!EU$86)</f>
        <v xml:space="preserve"> </v>
      </c>
      <c r="EV16" s="2" t="str">
        <f>IF(ISNUMBER(MINDS!EV$86),MINDS!EV$86," "&amp;MINDS!EV$86)</f>
        <v xml:space="preserve"> </v>
      </c>
      <c r="EW16" s="2" t="str">
        <f>IF(ISNUMBER(MINDS!EW$86),MINDS!EW$86," "&amp;MINDS!EW$86)</f>
        <v xml:space="preserve"> </v>
      </c>
      <c r="EX16" s="2" t="str">
        <f>IF(ISNUMBER(MINDS!EX$86),MINDS!EX$86," "&amp;MINDS!EX$86)</f>
        <v xml:space="preserve"> </v>
      </c>
      <c r="EY16" s="2" t="str">
        <f>IF(ISNUMBER(MINDS!EY$86),MINDS!EY$86," "&amp;MINDS!EY$86)</f>
        <v xml:space="preserve"> </v>
      </c>
      <c r="EZ16" s="2" t="str">
        <f>IF(ISNUMBER(MINDS!EZ$86),MINDS!EZ$86," "&amp;MINDS!EZ$86)</f>
        <v xml:space="preserve"> </v>
      </c>
      <c r="FA16" s="2" t="str">
        <f>IF(ISNUMBER(MINDS!FA$86),MINDS!FA$86," "&amp;MINDS!FA$86)</f>
        <v xml:space="preserve"> </v>
      </c>
      <c r="FB16" s="2" t="str">
        <f>IF(ISNUMBER(MINDS!FB$86),MINDS!FB$86," "&amp;MINDS!FB$86)</f>
        <v xml:space="preserve"> </v>
      </c>
      <c r="FC16" s="2" t="str">
        <f>IF(ISNUMBER(MINDS!FC$86),MINDS!FC$86," "&amp;MINDS!FC$86)</f>
        <v xml:space="preserve"> </v>
      </c>
      <c r="FD16" s="2" t="str">
        <f>IF(ISNUMBER(MINDS!FD$86),MINDS!FD$86," "&amp;MINDS!FD$86)</f>
        <v xml:space="preserve"> </v>
      </c>
      <c r="FE16" s="2" t="str">
        <f>IF(ISNUMBER(MINDS!FE$86),MINDS!FE$86," "&amp;MINDS!FE$86)</f>
        <v xml:space="preserve"> </v>
      </c>
      <c r="FF16" s="2" t="str">
        <f>IF(ISNUMBER(MINDS!FF$86),MINDS!FF$86," "&amp;MINDS!FF$86)</f>
        <v xml:space="preserve"> </v>
      </c>
      <c r="FG16" s="2" t="str">
        <f>IF(ISNUMBER(MINDS!FG$86),MINDS!FG$86," "&amp;MINDS!FG$86)</f>
        <v xml:space="preserve"> </v>
      </c>
      <c r="FH16" s="2" t="str">
        <f>IF(ISNUMBER(MINDS!FH$86),MINDS!FH$86," "&amp;MINDS!FH$86)</f>
        <v xml:space="preserve"> </v>
      </c>
      <c r="FI16" s="2" t="str">
        <f>IF(ISNUMBER(MINDS!FI$86),MINDS!FI$86," "&amp;MINDS!FI$86)</f>
        <v xml:space="preserve"> </v>
      </c>
      <c r="FJ16" s="2" t="str">
        <f>IF(ISNUMBER(MINDS!FJ$86),MINDS!FJ$86," "&amp;MINDS!FJ$86)</f>
        <v xml:space="preserve"> </v>
      </c>
      <c r="FK16" s="2" t="str">
        <f>IF(ISNUMBER(MINDS!FK$86),MINDS!FK$86," "&amp;MINDS!FK$86)</f>
        <v xml:space="preserve"> </v>
      </c>
      <c r="FL16" s="2" t="str">
        <f>IF(ISNUMBER(MINDS!FL$86),MINDS!FL$86," "&amp;MINDS!FL$86)</f>
        <v xml:space="preserve"> </v>
      </c>
      <c r="FM16" s="2" t="str">
        <f>IF(ISNUMBER(MINDS!FM$86),MINDS!FM$86," "&amp;MINDS!FM$86)</f>
        <v xml:space="preserve"> </v>
      </c>
      <c r="FN16" s="2" t="str">
        <f>IF(ISNUMBER(MINDS!FN$86),MINDS!FN$86," "&amp;MINDS!FN$86)</f>
        <v xml:space="preserve"> </v>
      </c>
      <c r="FO16" s="2" t="str">
        <f>IF(ISNUMBER(MINDS!FO$86),MINDS!FO$86," "&amp;MINDS!FO$86)</f>
        <v xml:space="preserve"> </v>
      </c>
      <c r="FP16" s="2" t="str">
        <f>IF(ISNUMBER(MINDS!FP$86),MINDS!FP$86," "&amp;MINDS!FP$86)</f>
        <v xml:space="preserve"> </v>
      </c>
      <c r="FQ16" s="2" t="str">
        <f>IF(ISNUMBER(MINDS!FQ$86),MINDS!FQ$86," "&amp;MINDS!FQ$86)</f>
        <v xml:space="preserve"> </v>
      </c>
      <c r="FR16" s="2" t="str">
        <f>IF(ISNUMBER(MINDS!FR$86),MINDS!FR$86," "&amp;MINDS!FR$86)</f>
        <v xml:space="preserve"> </v>
      </c>
      <c r="FS16" s="2" t="str">
        <f>IF(ISNUMBER(MINDS!FS$86),MINDS!FS$86," "&amp;MINDS!FS$86)</f>
        <v xml:space="preserve"> </v>
      </c>
      <c r="FT16" s="2" t="str">
        <f>IF(ISNUMBER(MINDS!FT$86),MINDS!FT$86," "&amp;MINDS!FT$86)</f>
        <v xml:space="preserve"> </v>
      </c>
      <c r="FU16" s="2" t="str">
        <f>IF(ISNUMBER(MINDS!FU$86),MINDS!FU$86," "&amp;MINDS!FU$86)</f>
        <v xml:space="preserve"> </v>
      </c>
      <c r="FV16" s="2" t="str">
        <f>IF(ISNUMBER(MINDS!FV$86),MINDS!FV$86," "&amp;MINDS!FV$86)</f>
        <v xml:space="preserve"> </v>
      </c>
      <c r="FW16" s="2" t="str">
        <f>IF(ISNUMBER(MINDS!FW$86),MINDS!FW$86," "&amp;MINDS!FW$86)</f>
        <v xml:space="preserve"> </v>
      </c>
      <c r="FX16" s="2" t="str">
        <f>IF(ISNUMBER(MINDS!FX$86),MINDS!FX$86," "&amp;MINDS!FX$86)</f>
        <v xml:space="preserve"> </v>
      </c>
      <c r="FY16" s="2" t="str">
        <f>IF(ISNUMBER(MINDS!FY$86),MINDS!FY$86," "&amp;MINDS!FY$86)</f>
        <v xml:space="preserve"> </v>
      </c>
      <c r="FZ16" s="2" t="str">
        <f>IF(ISNUMBER(MINDS!FZ$86),MINDS!FZ$86," "&amp;MINDS!FZ$86)</f>
        <v xml:space="preserve"> </v>
      </c>
      <c r="GA16" s="2" t="str">
        <f>IF(ISNUMBER(MINDS!GA$86),MINDS!GA$86," "&amp;MINDS!GA$86)</f>
        <v xml:space="preserve"> </v>
      </c>
      <c r="GB16" s="2" t="str">
        <f>IF(ISNUMBER(MINDS!GB$86),MINDS!GB$86," "&amp;MINDS!GB$86)</f>
        <v xml:space="preserve"> </v>
      </c>
      <c r="GC16" s="2" t="str">
        <f>IF(ISNUMBER(MINDS!GC$86),MINDS!GC$86," "&amp;MINDS!GC$86)</f>
        <v xml:space="preserve"> </v>
      </c>
      <c r="GD16" s="2" t="str">
        <f>IF(ISNUMBER(MINDS!GD$86),MINDS!GD$86," "&amp;MINDS!GD$86)</f>
        <v xml:space="preserve"> </v>
      </c>
      <c r="GE16" s="2" t="str">
        <f>IF(ISNUMBER(MINDS!GE$86),MINDS!GE$86," "&amp;MINDS!GE$86)</f>
        <v xml:space="preserve"> </v>
      </c>
      <c r="GF16" s="2" t="str">
        <f>IF(ISNUMBER(MINDS!GF$86),MINDS!GF$86," "&amp;MINDS!GF$86)</f>
        <v xml:space="preserve"> </v>
      </c>
      <c r="GG16" s="2" t="str">
        <f>IF(ISNUMBER(MINDS!GG$86),MINDS!GG$86," "&amp;MINDS!GG$86)</f>
        <v xml:space="preserve"> </v>
      </c>
      <c r="GH16" s="2" t="str">
        <f>IF(ISNUMBER(MINDS!GH$86),MINDS!GH$86," "&amp;MINDS!GH$86)</f>
        <v xml:space="preserve"> </v>
      </c>
      <c r="GI16" s="2" t="str">
        <f>IF(ISNUMBER(MINDS!GI$86),MINDS!GI$86," "&amp;MINDS!GI$86)</f>
        <v xml:space="preserve"> </v>
      </c>
      <c r="GJ16" s="2" t="str">
        <f>IF(ISNUMBER(MINDS!GJ$86),MINDS!GJ$86," "&amp;MINDS!GJ$86)</f>
        <v xml:space="preserve"> </v>
      </c>
      <c r="GK16" s="2" t="str">
        <f>IF(ISNUMBER(MINDS!GK$86),MINDS!GK$86," "&amp;MINDS!GK$86)</f>
        <v xml:space="preserve"> </v>
      </c>
      <c r="GL16" s="2" t="str">
        <f>IF(ISNUMBER(MINDS!GL$86),MINDS!GL$86," "&amp;MINDS!GL$86)</f>
        <v xml:space="preserve"> </v>
      </c>
      <c r="GM16" s="2" t="str">
        <f>IF(ISNUMBER(MINDS!GM$86),MINDS!GM$86," "&amp;MINDS!GM$86)</f>
        <v xml:space="preserve"> </v>
      </c>
      <c r="GN16" s="2" t="str">
        <f>IF(ISNUMBER(MINDS!GN$86),MINDS!GN$86," "&amp;MINDS!GN$86)</f>
        <v xml:space="preserve"> </v>
      </c>
      <c r="GO16" s="2" t="str">
        <f>IF(ISNUMBER(MINDS!GO$86),MINDS!GO$86," "&amp;MINDS!GO$86)</f>
        <v xml:space="preserve"> </v>
      </c>
      <c r="GP16" s="2" t="str">
        <f>IF(ISNUMBER(MINDS!GP$86),MINDS!GP$86," "&amp;MINDS!GP$86)</f>
        <v xml:space="preserve"> </v>
      </c>
      <c r="GQ16" s="2" t="str">
        <f>IF(ISNUMBER(MINDS!GQ$86),MINDS!GQ$86," "&amp;MINDS!GQ$86)</f>
        <v xml:space="preserve"> </v>
      </c>
      <c r="GR16" s="2" t="str">
        <f>IF(ISNUMBER(MINDS!GR$86),MINDS!GR$86," "&amp;MINDS!GR$86)</f>
        <v xml:space="preserve"> </v>
      </c>
      <c r="GS16" s="2" t="str">
        <f>IF(ISNUMBER(MINDS!GS$86),MINDS!GS$86," "&amp;MINDS!GS$86)</f>
        <v xml:space="preserve"> </v>
      </c>
      <c r="GT16" s="2" t="str">
        <f>IF(ISNUMBER(MINDS!GT$86),MINDS!GT$86," "&amp;MINDS!GT$86)</f>
        <v xml:space="preserve"> </v>
      </c>
      <c r="GU16" s="2" t="str">
        <f>IF(ISNUMBER(MINDS!GU$86),MINDS!GU$86," "&amp;MINDS!GU$86)</f>
        <v xml:space="preserve"> </v>
      </c>
      <c r="GV16" s="2" t="str">
        <f>IF(ISNUMBER(MINDS!GV$86),MINDS!GV$86," "&amp;MINDS!GV$86)</f>
        <v xml:space="preserve"> </v>
      </c>
      <c r="GW16" s="2" t="str">
        <f>IF(ISNUMBER(MINDS!GW$86),MINDS!GW$86," "&amp;MINDS!GW$86)</f>
        <v xml:space="preserve"> </v>
      </c>
      <c r="GX16" s="2" t="str">
        <f>IF(ISNUMBER(MINDS!GX$86),MINDS!GX$86," "&amp;MINDS!GX$86)</f>
        <v xml:space="preserve"> </v>
      </c>
      <c r="GY16" s="2" t="str">
        <f>IF(ISNUMBER(MINDS!GY$86),MINDS!GY$86," "&amp;MINDS!GY$86)</f>
        <v xml:space="preserve"> </v>
      </c>
      <c r="GZ16" s="2" t="str">
        <f>IF(ISNUMBER(MINDS!GZ$86),MINDS!GZ$86," "&amp;MINDS!GZ$86)</f>
        <v xml:space="preserve"> </v>
      </c>
      <c r="HA16" s="2" t="str">
        <f>IF(ISNUMBER(MINDS!HA$86),MINDS!HA$86," "&amp;MINDS!HA$86)</f>
        <v xml:space="preserve"> </v>
      </c>
      <c r="HB16" s="2" t="str">
        <f>IF(ISNUMBER(MINDS!HB$86),MINDS!HB$86," "&amp;MINDS!HB$86)</f>
        <v xml:space="preserve"> </v>
      </c>
      <c r="HC16" s="2" t="str">
        <f>IF(ISNUMBER(MINDS!HC$86),MINDS!HC$86," "&amp;MINDS!HC$86)</f>
        <v xml:space="preserve"> </v>
      </c>
      <c r="HD16" s="2" t="str">
        <f>IF(ISNUMBER(MINDS!HD$86),MINDS!HD$86," "&amp;MINDS!HD$86)</f>
        <v xml:space="preserve"> </v>
      </c>
      <c r="HE16" s="2" t="str">
        <f>IF(ISNUMBER(MINDS!HE$86),MINDS!HE$86," "&amp;MINDS!HE$86)</f>
        <v xml:space="preserve"> </v>
      </c>
      <c r="HF16" s="2" t="str">
        <f>IF(ISNUMBER(MINDS!HF$86),MINDS!HF$86," "&amp;MINDS!HF$86)</f>
        <v xml:space="preserve"> </v>
      </c>
      <c r="HG16" s="2" t="str">
        <f>IF(ISNUMBER(MINDS!HG$86),MINDS!HG$86," "&amp;MINDS!HG$86)</f>
        <v xml:space="preserve"> </v>
      </c>
      <c r="HH16" s="2" t="str">
        <f>IF(ISNUMBER(MINDS!HH$86),MINDS!HH$86," "&amp;MINDS!HH$86)</f>
        <v xml:space="preserve"> </v>
      </c>
      <c r="HI16" s="2" t="str">
        <f>IF(ISNUMBER(MINDS!HI$86),MINDS!HI$86," "&amp;MINDS!HI$86)</f>
        <v xml:space="preserve"> </v>
      </c>
      <c r="HJ16" s="2" t="str">
        <f>IF(ISNUMBER(MINDS!HJ$86),MINDS!HJ$86," "&amp;MINDS!HJ$86)</f>
        <v xml:space="preserve"> </v>
      </c>
      <c r="HK16" s="2" t="str">
        <f>IF(ISNUMBER(MINDS!HK$86),MINDS!HK$86," "&amp;MINDS!HK$86)</f>
        <v xml:space="preserve"> </v>
      </c>
      <c r="HL16" s="2" t="str">
        <f>IF(ISNUMBER(MINDS!HL$86),MINDS!HL$86," "&amp;MINDS!HL$86)</f>
        <v xml:space="preserve"> </v>
      </c>
      <c r="HM16" s="2" t="str">
        <f>IF(ISNUMBER(MINDS!HM$86),MINDS!HM$86," "&amp;MINDS!HM$86)</f>
        <v xml:space="preserve"> </v>
      </c>
      <c r="HN16" s="2" t="str">
        <f>IF(ISNUMBER(MINDS!HN$86),MINDS!HN$86," "&amp;MINDS!HN$86)</f>
        <v xml:space="preserve"> </v>
      </c>
      <c r="HO16" s="2" t="str">
        <f>IF(ISNUMBER(MINDS!HO$86),MINDS!HO$86," "&amp;MINDS!HO$86)</f>
        <v xml:space="preserve"> </v>
      </c>
      <c r="HP16" s="2" t="str">
        <f>IF(ISNUMBER(MINDS!HP$86),MINDS!HP$86," "&amp;MINDS!HP$86)</f>
        <v xml:space="preserve"> </v>
      </c>
      <c r="HQ16" s="2" t="str">
        <f>IF(ISNUMBER(MINDS!HQ$86),MINDS!HQ$86," "&amp;MINDS!HQ$86)</f>
        <v xml:space="preserve"> </v>
      </c>
      <c r="HR16" s="2" t="str">
        <f>IF(ISNUMBER(MINDS!HR$86),MINDS!HR$86," "&amp;MINDS!HR$86)</f>
        <v xml:space="preserve"> </v>
      </c>
      <c r="HS16" s="2" t="str">
        <f>IF(ISNUMBER(MINDS!HS$86),MINDS!HS$86," "&amp;MINDS!HS$86)</f>
        <v xml:space="preserve"> </v>
      </c>
      <c r="HT16" s="2" t="str">
        <f>IF(ISNUMBER(MINDS!HT$86),MINDS!HT$86," "&amp;MINDS!HT$86)</f>
        <v xml:space="preserve"> </v>
      </c>
      <c r="HU16" s="2" t="str">
        <f>IF(ISNUMBER(MINDS!HU$86),MINDS!HU$86," "&amp;MINDS!HU$86)</f>
        <v xml:space="preserve"> </v>
      </c>
      <c r="HV16" s="2" t="str">
        <f>IF(ISNUMBER(MINDS!HV$86),MINDS!HV$86," "&amp;MINDS!HV$86)</f>
        <v xml:space="preserve"> </v>
      </c>
      <c r="HW16" s="2" t="str">
        <f>IF(ISNUMBER(MINDS!HW$86),MINDS!HW$86," "&amp;MINDS!HW$86)</f>
        <v xml:space="preserve"> </v>
      </c>
      <c r="HX16" s="2" t="str">
        <f>IF(ISNUMBER(MINDS!HX$86),MINDS!HX$86," "&amp;MINDS!HX$86)</f>
        <v xml:space="preserve"> </v>
      </c>
      <c r="HY16" s="2" t="str">
        <f>IF(ISNUMBER(MINDS!HY$86),MINDS!HY$86," "&amp;MINDS!HY$86)</f>
        <v xml:space="preserve"> </v>
      </c>
      <c r="HZ16" s="2" t="str">
        <f>IF(ISNUMBER(MINDS!HZ$86),MINDS!HZ$86," "&amp;MINDS!HZ$86)</f>
        <v xml:space="preserve"> </v>
      </c>
      <c r="IA16" s="2" t="str">
        <f>IF(ISNUMBER(MINDS!IA$86),MINDS!IA$86," "&amp;MINDS!IA$86)</f>
        <v xml:space="preserve"> </v>
      </c>
      <c r="IB16" s="2" t="str">
        <f>IF(ISNUMBER(MINDS!IB$86),MINDS!IB$86," "&amp;MINDS!IB$86)</f>
        <v xml:space="preserve"> </v>
      </c>
      <c r="IC16" s="2" t="str">
        <f>IF(ISNUMBER(MINDS!IC$86),MINDS!IC$86," "&amp;MINDS!IC$86)</f>
        <v xml:space="preserve"> </v>
      </c>
      <c r="ID16" s="2" t="str">
        <f>IF(ISNUMBER(MINDS!ID$86),MINDS!ID$86," "&amp;MINDS!ID$86)</f>
        <v xml:space="preserve"> </v>
      </c>
      <c r="IE16" s="2" t="str">
        <f>IF(ISNUMBER(MINDS!IE$86),MINDS!IE$86," "&amp;MINDS!IE$86)</f>
        <v xml:space="preserve"> </v>
      </c>
      <c r="IF16" s="2" t="str">
        <f>IF(ISNUMBER(MINDS!IF$86),MINDS!IF$86," "&amp;MINDS!IF$86)</f>
        <v xml:space="preserve"> </v>
      </c>
      <c r="IG16" s="2" t="str">
        <f>IF(ISNUMBER(MINDS!IG$86),MINDS!IG$86," "&amp;MINDS!IG$86)</f>
        <v xml:space="preserve"> </v>
      </c>
      <c r="IH16" s="2" t="str">
        <f>IF(ISNUMBER(MINDS!IH$86),MINDS!IH$86," "&amp;MINDS!IH$86)</f>
        <v xml:space="preserve"> </v>
      </c>
      <c r="II16" s="2" t="str">
        <f>IF(ISNUMBER(MINDS!II$86),MINDS!II$86," "&amp;MINDS!II$86)</f>
        <v xml:space="preserve"> </v>
      </c>
      <c r="IJ16" s="2" t="str">
        <f>IF(ISNUMBER(MINDS!IJ$86),MINDS!IJ$86," "&amp;MINDS!IJ$86)</f>
        <v xml:space="preserve"> </v>
      </c>
      <c r="IK16" s="2" t="str">
        <f>IF(ISNUMBER(MINDS!IK$86),MINDS!IK$86," "&amp;MINDS!IK$86)</f>
        <v xml:space="preserve"> </v>
      </c>
      <c r="IL16" s="2" t="str">
        <f>IF(ISNUMBER(MINDS!IL$86),MINDS!IL$86," "&amp;MINDS!IL$86)</f>
        <v xml:space="preserve"> </v>
      </c>
      <c r="IM16" s="2" t="str">
        <f>IF(ISNUMBER(MINDS!IM$86),MINDS!IM$86," "&amp;MINDS!IM$86)</f>
        <v xml:space="preserve"> </v>
      </c>
      <c r="IN16" s="2" t="str">
        <f>IF(ISNUMBER(MINDS!IN$86),MINDS!IN$86," "&amp;MINDS!IN$86)</f>
        <v xml:space="preserve"> </v>
      </c>
      <c r="IO16" s="2" t="str">
        <f>IF(ISNUMBER(MINDS!IO$86),MINDS!IO$86," "&amp;MINDS!IO$86)</f>
        <v xml:space="preserve"> </v>
      </c>
      <c r="IP16" s="2" t="str">
        <f>IF(ISNUMBER(MINDS!IP$86),MINDS!IP$86," "&amp;MINDS!IP$86)</f>
        <v xml:space="preserve"> </v>
      </c>
      <c r="IQ16" s="2" t="str">
        <f>IF(ISNUMBER(MINDS!IQ$86),MINDS!IQ$86," "&amp;MINDS!IQ$86)</f>
        <v xml:space="preserve"> </v>
      </c>
      <c r="IR16" s="2" t="str">
        <f>IF(ISNUMBER(MINDS!IR$86),MINDS!IR$86," "&amp;MINDS!IR$86)</f>
        <v xml:space="preserve"> </v>
      </c>
      <c r="IS16" s="2" t="str">
        <f>IF(ISNUMBER(MINDS!IS$86),MINDS!IS$86," "&amp;MINDS!IS$86)</f>
        <v xml:space="preserve"> </v>
      </c>
      <c r="IT16" s="2" t="str">
        <f>IF(ISNUMBER(MINDS!IT$86),MINDS!IT$86," "&amp;MINDS!IT$86)</f>
        <v xml:space="preserve"> </v>
      </c>
      <c r="IU16" s="2" t="str">
        <f>IF(ISNUMBER(MINDS!IU$86),MINDS!IU$86," "&amp;MINDS!IU$86)</f>
        <v xml:space="preserve"> </v>
      </c>
      <c r="IV16" s="2" t="str">
        <f>IF(ISNUMBER(MINDS!IV$86),MINDS!IV$86," "&amp;MINDS!IV$86)</f>
        <v xml:space="preserve"> </v>
      </c>
    </row>
    <row r="17" spans="1:256" x14ac:dyDescent="0.2">
      <c r="A17" s="3" t="s">
        <v>34</v>
      </c>
      <c r="C17" s="2" t="str">
        <f>IF(ISNUMBER(MINDS!C$87),MINDS!C$87," "&amp;MINDS!C$87)</f>
        <v xml:space="preserve"> </v>
      </c>
      <c r="D17" s="2" t="str">
        <f>IF(ISNUMBER(MINDS!D$87),MINDS!D$87," "&amp;MINDS!D$87)</f>
        <v xml:space="preserve"> </v>
      </c>
      <c r="E17" s="2" t="str">
        <f>IF(ISNUMBER(MINDS!E$87),MINDS!E$87," "&amp;MINDS!E$87)</f>
        <v xml:space="preserve"> </v>
      </c>
      <c r="F17" s="2" t="str">
        <f>IF(ISNUMBER(MINDS!F$87),MINDS!F$87," "&amp;MINDS!F$87)</f>
        <v xml:space="preserve"> </v>
      </c>
      <c r="G17" s="2" t="str">
        <f>IF(ISNUMBER(MINDS!G$87),MINDS!G$87," "&amp;MINDS!G$87)</f>
        <v xml:space="preserve"> </v>
      </c>
      <c r="H17" s="2" t="str">
        <f>IF(ISNUMBER(MINDS!H$87),MINDS!H$87," "&amp;MINDS!H$87)</f>
        <v xml:space="preserve"> </v>
      </c>
      <c r="I17" s="2" t="str">
        <f>IF(ISNUMBER(MINDS!I$87),MINDS!I$87," "&amp;MINDS!I$87)</f>
        <v xml:space="preserve"> </v>
      </c>
      <c r="J17" s="2" t="str">
        <f>IF(ISNUMBER(MINDS!J$87),MINDS!J$87," "&amp;MINDS!J$87)</f>
        <v xml:space="preserve"> </v>
      </c>
      <c r="K17" s="2" t="str">
        <f>IF(ISNUMBER(MINDS!K$87),MINDS!K$87," "&amp;MINDS!K$87)</f>
        <v xml:space="preserve"> </v>
      </c>
      <c r="L17" s="2" t="str">
        <f>IF(ISNUMBER(MINDS!L$87),MINDS!L$87," "&amp;MINDS!L$87)</f>
        <v xml:space="preserve"> </v>
      </c>
      <c r="M17" s="2" t="str">
        <f>IF(ISNUMBER(MINDS!M$87),MINDS!M$87," "&amp;MINDS!M$87)</f>
        <v xml:space="preserve"> </v>
      </c>
      <c r="N17" s="2" t="str">
        <f>IF(ISNUMBER(MINDS!N$87),MINDS!N$87," "&amp;MINDS!N$87)</f>
        <v xml:space="preserve"> </v>
      </c>
      <c r="O17" s="2" t="str">
        <f>IF(ISNUMBER(MINDS!O$87),MINDS!O$87," "&amp;MINDS!O$87)</f>
        <v xml:space="preserve"> </v>
      </c>
      <c r="P17" s="2" t="str">
        <f>IF(ISNUMBER(MINDS!P$87),MINDS!P$87," "&amp;MINDS!P$87)</f>
        <v xml:space="preserve"> </v>
      </c>
      <c r="Q17" s="2" t="str">
        <f>IF(ISNUMBER(MINDS!Q$87),MINDS!Q$87," "&amp;MINDS!Q$87)</f>
        <v xml:space="preserve"> </v>
      </c>
      <c r="R17" s="2" t="str">
        <f>IF(ISNUMBER(MINDS!R$87),MINDS!R$87," "&amp;MINDS!R$87)</f>
        <v xml:space="preserve"> </v>
      </c>
      <c r="S17" s="2" t="str">
        <f>IF(ISNUMBER(MINDS!S$87),MINDS!S$87," "&amp;MINDS!S$87)</f>
        <v xml:space="preserve"> </v>
      </c>
      <c r="T17" s="2" t="str">
        <f>IF(ISNUMBER(MINDS!T$87),MINDS!T$87," "&amp;MINDS!T$87)</f>
        <v xml:space="preserve"> </v>
      </c>
      <c r="U17" s="2" t="str">
        <f>IF(ISNUMBER(MINDS!U$87),MINDS!U$87," "&amp;MINDS!U$87)</f>
        <v xml:space="preserve"> </v>
      </c>
      <c r="V17" s="2" t="str">
        <f>IF(ISNUMBER(MINDS!V$87),MINDS!V$87," "&amp;MINDS!V$87)</f>
        <v xml:space="preserve"> </v>
      </c>
      <c r="W17" s="2" t="str">
        <f>IF(ISNUMBER(MINDS!W$87),MINDS!W$87," "&amp;MINDS!W$87)</f>
        <v xml:space="preserve"> </v>
      </c>
      <c r="X17" s="2" t="str">
        <f>IF(ISNUMBER(MINDS!X$87),MINDS!X$87," "&amp;MINDS!X$87)</f>
        <v xml:space="preserve"> </v>
      </c>
      <c r="Y17" s="2" t="str">
        <f>IF(ISNUMBER(MINDS!Y$87),MINDS!Y$87," "&amp;MINDS!Y$87)</f>
        <v xml:space="preserve"> </v>
      </c>
      <c r="Z17" s="2" t="str">
        <f>IF(ISNUMBER(MINDS!Z$87),MINDS!Z$87," "&amp;MINDS!Z$87)</f>
        <v xml:space="preserve"> </v>
      </c>
      <c r="AA17" s="2" t="str">
        <f>IF(ISNUMBER(MINDS!AA$87),MINDS!AA$87," "&amp;MINDS!AA$87)</f>
        <v xml:space="preserve"> </v>
      </c>
      <c r="AB17" s="2" t="str">
        <f>IF(ISNUMBER(MINDS!AB$87),MINDS!AB$87," "&amp;MINDS!AB$87)</f>
        <v xml:space="preserve"> </v>
      </c>
      <c r="AC17" s="2" t="str">
        <f>IF(ISNUMBER(MINDS!AC$87),MINDS!AC$87," "&amp;MINDS!AC$87)</f>
        <v xml:space="preserve"> </v>
      </c>
      <c r="AD17" s="2" t="str">
        <f>IF(ISNUMBER(MINDS!AD$87),MINDS!AD$87," "&amp;MINDS!AD$87)</f>
        <v xml:space="preserve"> </v>
      </c>
      <c r="AE17" s="2" t="str">
        <f>IF(ISNUMBER(MINDS!AE$87),MINDS!AE$87," "&amp;MINDS!AE$87)</f>
        <v xml:space="preserve"> </v>
      </c>
      <c r="AF17" s="2" t="str">
        <f>IF(ISNUMBER(MINDS!AF$87),MINDS!AF$87," "&amp;MINDS!AF$87)</f>
        <v xml:space="preserve"> </v>
      </c>
      <c r="AG17" s="2" t="str">
        <f>IF(ISNUMBER(MINDS!AG$87),MINDS!AG$87," "&amp;MINDS!AG$87)</f>
        <v xml:space="preserve"> </v>
      </c>
      <c r="AH17" s="2" t="str">
        <f>IF(ISNUMBER(MINDS!AH$87),MINDS!AH$87," "&amp;MINDS!AH$87)</f>
        <v xml:space="preserve"> </v>
      </c>
      <c r="AI17" s="2" t="str">
        <f>IF(ISNUMBER(MINDS!AI$87),MINDS!AI$87," "&amp;MINDS!AI$87)</f>
        <v xml:space="preserve"> </v>
      </c>
      <c r="AJ17" s="2" t="str">
        <f>IF(ISNUMBER(MINDS!AJ$87),MINDS!AJ$87," "&amp;MINDS!AJ$87)</f>
        <v xml:space="preserve"> </v>
      </c>
      <c r="AK17" s="2" t="str">
        <f>IF(ISNUMBER(MINDS!AK$87),MINDS!AK$87," "&amp;MINDS!AK$87)</f>
        <v xml:space="preserve"> </v>
      </c>
      <c r="AL17" s="2" t="str">
        <f>IF(ISNUMBER(MINDS!AL$87),MINDS!AL$87," "&amp;MINDS!AL$87)</f>
        <v xml:space="preserve"> </v>
      </c>
      <c r="AM17" s="2" t="str">
        <f>IF(ISNUMBER(MINDS!AM$87),MINDS!AM$87," "&amp;MINDS!AM$87)</f>
        <v xml:space="preserve"> </v>
      </c>
      <c r="AN17" s="2" t="str">
        <f>IF(ISNUMBER(MINDS!AN$87),MINDS!AN$87," "&amp;MINDS!AN$87)</f>
        <v xml:space="preserve"> </v>
      </c>
      <c r="AO17" s="2" t="str">
        <f>IF(ISNUMBER(MINDS!AO$87),MINDS!AO$87," "&amp;MINDS!AO$87)</f>
        <v xml:space="preserve"> </v>
      </c>
      <c r="AP17" s="2" t="str">
        <f>IF(ISNUMBER(MINDS!AP$87),MINDS!AP$87," "&amp;MINDS!AP$87)</f>
        <v xml:space="preserve"> </v>
      </c>
      <c r="AQ17" s="2" t="str">
        <f>IF(ISNUMBER(MINDS!AQ$87),MINDS!AQ$87," "&amp;MINDS!AQ$87)</f>
        <v xml:space="preserve"> </v>
      </c>
      <c r="AR17" s="2" t="str">
        <f>IF(ISNUMBER(MINDS!AR$87),MINDS!AR$87," "&amp;MINDS!AR$87)</f>
        <v xml:space="preserve"> </v>
      </c>
      <c r="AS17" s="2" t="str">
        <f>IF(ISNUMBER(MINDS!AS$87),MINDS!AS$87," "&amp;MINDS!AS$87)</f>
        <v xml:space="preserve"> </v>
      </c>
      <c r="AT17" s="2" t="str">
        <f>IF(ISNUMBER(MINDS!AT$87),MINDS!AT$87," "&amp;MINDS!AT$87)</f>
        <v xml:space="preserve"> </v>
      </c>
      <c r="AU17" s="2" t="str">
        <f>IF(ISNUMBER(MINDS!AU$87),MINDS!AU$87," "&amp;MINDS!AU$87)</f>
        <v xml:space="preserve"> </v>
      </c>
      <c r="AV17" s="2" t="str">
        <f>IF(ISNUMBER(MINDS!AV$87),MINDS!AV$87," "&amp;MINDS!AV$87)</f>
        <v xml:space="preserve"> </v>
      </c>
      <c r="AW17" s="2" t="str">
        <f>IF(ISNUMBER(MINDS!AW$87),MINDS!AW$87," "&amp;MINDS!AW$87)</f>
        <v xml:space="preserve"> </v>
      </c>
      <c r="AX17" s="2" t="str">
        <f>IF(ISNUMBER(MINDS!AX$87),MINDS!AX$87," "&amp;MINDS!AX$87)</f>
        <v xml:space="preserve"> </v>
      </c>
      <c r="AY17" s="2" t="str">
        <f>IF(ISNUMBER(MINDS!AY$87),MINDS!AY$87," "&amp;MINDS!AY$87)</f>
        <v xml:space="preserve"> </v>
      </c>
      <c r="AZ17" s="2" t="str">
        <f>IF(ISNUMBER(MINDS!AZ$87),MINDS!AZ$87," "&amp;MINDS!AZ$87)</f>
        <v xml:space="preserve"> </v>
      </c>
      <c r="BA17" s="2" t="str">
        <f>IF(ISNUMBER(MINDS!BA$87),MINDS!BA$87," "&amp;MINDS!BA$87)</f>
        <v xml:space="preserve"> </v>
      </c>
      <c r="BB17" s="2" t="str">
        <f>IF(ISNUMBER(MINDS!BB$87),MINDS!BB$87," "&amp;MINDS!BB$87)</f>
        <v xml:space="preserve"> </v>
      </c>
      <c r="BC17" s="2" t="str">
        <f>IF(ISNUMBER(MINDS!BC$87),MINDS!BC$87," "&amp;MINDS!BC$87)</f>
        <v xml:space="preserve"> </v>
      </c>
      <c r="BD17" s="2" t="str">
        <f>IF(ISNUMBER(MINDS!BD$87),MINDS!BD$87," "&amp;MINDS!BD$87)</f>
        <v xml:space="preserve"> </v>
      </c>
      <c r="BE17" s="2" t="str">
        <f>IF(ISNUMBER(MINDS!BE$87),MINDS!BE$87," "&amp;MINDS!BE$87)</f>
        <v xml:space="preserve"> </v>
      </c>
      <c r="BF17" s="2" t="str">
        <f>IF(ISNUMBER(MINDS!BF$87),MINDS!BF$87," "&amp;MINDS!BF$87)</f>
        <v xml:space="preserve"> </v>
      </c>
      <c r="BG17" s="2" t="str">
        <f>IF(ISNUMBER(MINDS!BG$87),MINDS!BG$87," "&amp;MINDS!BG$87)</f>
        <v xml:space="preserve"> </v>
      </c>
      <c r="BH17" s="2" t="str">
        <f>IF(ISNUMBER(MINDS!BH$87),MINDS!BH$87," "&amp;MINDS!BH$87)</f>
        <v xml:space="preserve"> </v>
      </c>
      <c r="BI17" s="2" t="str">
        <f>IF(ISNUMBER(MINDS!BI$87),MINDS!BI$87," "&amp;MINDS!BI$87)</f>
        <v xml:space="preserve"> </v>
      </c>
      <c r="BJ17" s="2" t="str">
        <f>IF(ISNUMBER(MINDS!BJ$87),MINDS!BJ$87," "&amp;MINDS!BJ$87)</f>
        <v xml:space="preserve"> </v>
      </c>
      <c r="BK17" s="2" t="str">
        <f>IF(ISNUMBER(MINDS!BK$87),MINDS!BK$87," "&amp;MINDS!BK$87)</f>
        <v xml:space="preserve"> </v>
      </c>
      <c r="BL17" s="2" t="str">
        <f>IF(ISNUMBER(MINDS!BL$87),MINDS!BL$87," "&amp;MINDS!BL$87)</f>
        <v xml:space="preserve"> </v>
      </c>
      <c r="BM17" s="2" t="str">
        <f>IF(ISNUMBER(MINDS!BM$87),MINDS!BM$87," "&amp;MINDS!BM$87)</f>
        <v xml:space="preserve"> </v>
      </c>
      <c r="BN17" s="2" t="str">
        <f>IF(ISNUMBER(MINDS!BN$87),MINDS!BN$87," "&amp;MINDS!BN$87)</f>
        <v xml:space="preserve"> </v>
      </c>
      <c r="BO17" s="2" t="str">
        <f>IF(ISNUMBER(MINDS!BO$87),MINDS!BO$87," "&amp;MINDS!BO$87)</f>
        <v xml:space="preserve"> </v>
      </c>
      <c r="BP17" s="2" t="str">
        <f>IF(ISNUMBER(MINDS!BP$87),MINDS!BP$87," "&amp;MINDS!BP$87)</f>
        <v xml:space="preserve"> </v>
      </c>
      <c r="BQ17" s="2" t="str">
        <f>IF(ISNUMBER(MINDS!BQ$87),MINDS!BQ$87," "&amp;MINDS!BQ$87)</f>
        <v xml:space="preserve"> </v>
      </c>
      <c r="BR17" s="2" t="str">
        <f>IF(ISNUMBER(MINDS!BR$87),MINDS!BR$87," "&amp;MINDS!BR$87)</f>
        <v xml:space="preserve"> </v>
      </c>
      <c r="BS17" s="2" t="str">
        <f>IF(ISNUMBER(MINDS!BS$87),MINDS!BS$87," "&amp;MINDS!BS$87)</f>
        <v xml:space="preserve"> </v>
      </c>
      <c r="BT17" s="2" t="str">
        <f>IF(ISNUMBER(MINDS!BT$87),MINDS!BT$87," "&amp;MINDS!BT$87)</f>
        <v xml:space="preserve"> </v>
      </c>
      <c r="BU17" s="2" t="str">
        <f>IF(ISNUMBER(MINDS!BU$87),MINDS!BU$87," "&amp;MINDS!BU$87)</f>
        <v xml:space="preserve"> </v>
      </c>
      <c r="BV17" s="2" t="str">
        <f>IF(ISNUMBER(MINDS!BV$87),MINDS!BV$87," "&amp;MINDS!BV$87)</f>
        <v xml:space="preserve"> </v>
      </c>
      <c r="BW17" s="2" t="str">
        <f>IF(ISNUMBER(MINDS!BW$87),MINDS!BW$87," "&amp;MINDS!BW$87)</f>
        <v xml:space="preserve"> </v>
      </c>
      <c r="BX17" s="2" t="str">
        <f>IF(ISNUMBER(MINDS!BX$87),MINDS!BX$87," "&amp;MINDS!BX$87)</f>
        <v xml:space="preserve"> </v>
      </c>
      <c r="BY17" s="2" t="str">
        <f>IF(ISNUMBER(MINDS!BY$87),MINDS!BY$87," "&amp;MINDS!BY$87)</f>
        <v xml:space="preserve"> </v>
      </c>
      <c r="BZ17" s="2" t="str">
        <f>IF(ISNUMBER(MINDS!BZ$87),MINDS!BZ$87," "&amp;MINDS!BZ$87)</f>
        <v xml:space="preserve"> </v>
      </c>
      <c r="CA17" s="2" t="str">
        <f>IF(ISNUMBER(MINDS!CA$87),MINDS!CA$87," "&amp;MINDS!CA$87)</f>
        <v xml:space="preserve"> </v>
      </c>
      <c r="CB17" s="2" t="str">
        <f>IF(ISNUMBER(MINDS!CB$87),MINDS!CB$87," "&amp;MINDS!CB$87)</f>
        <v xml:space="preserve"> </v>
      </c>
      <c r="CC17" s="2" t="str">
        <f>IF(ISNUMBER(MINDS!CC$87),MINDS!CC$87," "&amp;MINDS!CC$87)</f>
        <v xml:space="preserve"> </v>
      </c>
      <c r="CD17" s="2" t="str">
        <f>IF(ISNUMBER(MINDS!CD$87),MINDS!CD$87," "&amp;MINDS!CD$87)</f>
        <v xml:space="preserve"> </v>
      </c>
      <c r="CE17" s="2" t="str">
        <f>IF(ISNUMBER(MINDS!CE$87),MINDS!CE$87," "&amp;MINDS!CE$87)</f>
        <v xml:space="preserve"> </v>
      </c>
      <c r="CF17" s="2" t="str">
        <f>IF(ISNUMBER(MINDS!CF$87),MINDS!CF$87," "&amp;MINDS!CF$87)</f>
        <v xml:space="preserve"> </v>
      </c>
      <c r="CG17" s="2" t="str">
        <f>IF(ISNUMBER(MINDS!CG$87),MINDS!CG$87," "&amp;MINDS!CG$87)</f>
        <v xml:space="preserve"> </v>
      </c>
      <c r="CH17" s="2" t="str">
        <f>IF(ISNUMBER(MINDS!CH$87),MINDS!CH$87," "&amp;MINDS!CH$87)</f>
        <v xml:space="preserve"> </v>
      </c>
      <c r="CI17" s="2" t="str">
        <f>IF(ISNUMBER(MINDS!CI$87),MINDS!CI$87," "&amp;MINDS!CI$87)</f>
        <v xml:space="preserve"> </v>
      </c>
      <c r="CJ17" s="2" t="str">
        <f>IF(ISNUMBER(MINDS!CJ$87),MINDS!CJ$87," "&amp;MINDS!CJ$87)</f>
        <v xml:space="preserve"> </v>
      </c>
      <c r="CK17" s="2" t="str">
        <f>IF(ISNUMBER(MINDS!CK$87),MINDS!CK$87," "&amp;MINDS!CK$87)</f>
        <v xml:space="preserve"> </v>
      </c>
      <c r="CL17" s="2" t="str">
        <f>IF(ISNUMBER(MINDS!CL$87),MINDS!CL$87," "&amp;MINDS!CL$87)</f>
        <v xml:space="preserve"> </v>
      </c>
      <c r="CM17" s="2" t="str">
        <f>IF(ISNUMBER(MINDS!CM$87),MINDS!CM$87," "&amp;MINDS!CM$87)</f>
        <v xml:space="preserve"> </v>
      </c>
      <c r="CN17" s="2" t="str">
        <f>IF(ISNUMBER(MINDS!CN$87),MINDS!CN$87," "&amp;MINDS!CN$87)</f>
        <v xml:space="preserve"> </v>
      </c>
      <c r="CO17" s="2" t="str">
        <f>IF(ISNUMBER(MINDS!CO$87),MINDS!CO$87," "&amp;MINDS!CO$87)</f>
        <v xml:space="preserve"> </v>
      </c>
      <c r="CP17" s="2" t="str">
        <f>IF(ISNUMBER(MINDS!CP$87),MINDS!CP$87," "&amp;MINDS!CP$87)</f>
        <v xml:space="preserve"> </v>
      </c>
      <c r="CQ17" s="2" t="str">
        <f>IF(ISNUMBER(MINDS!CQ$87),MINDS!CQ$87," "&amp;MINDS!CQ$87)</f>
        <v xml:space="preserve"> </v>
      </c>
      <c r="CR17" s="2" t="str">
        <f>IF(ISNUMBER(MINDS!CR$87),MINDS!CR$87," "&amp;MINDS!CR$87)</f>
        <v xml:space="preserve"> </v>
      </c>
      <c r="CS17" s="2" t="str">
        <f>IF(ISNUMBER(MINDS!CS$87),MINDS!CS$87," "&amp;MINDS!CS$87)</f>
        <v xml:space="preserve"> </v>
      </c>
      <c r="CT17" s="2" t="str">
        <f>IF(ISNUMBER(MINDS!CT$87),MINDS!CT$87," "&amp;MINDS!CT$87)</f>
        <v xml:space="preserve"> </v>
      </c>
      <c r="CU17" s="2" t="str">
        <f>IF(ISNUMBER(MINDS!CU$87),MINDS!CU$87," "&amp;MINDS!CU$87)</f>
        <v xml:space="preserve"> </v>
      </c>
      <c r="CV17" s="2" t="str">
        <f>IF(ISNUMBER(MINDS!CV$87),MINDS!CV$87," "&amp;MINDS!CV$87)</f>
        <v xml:space="preserve"> </v>
      </c>
      <c r="CW17" s="2" t="str">
        <f>IF(ISNUMBER(MINDS!CW$87),MINDS!CW$87," "&amp;MINDS!CW$87)</f>
        <v xml:space="preserve"> </v>
      </c>
      <c r="CX17" s="2" t="str">
        <f>IF(ISNUMBER(MINDS!CX$87),MINDS!CX$87," "&amp;MINDS!CX$87)</f>
        <v xml:space="preserve"> </v>
      </c>
      <c r="CY17" s="2" t="str">
        <f>IF(ISNUMBER(MINDS!CY$87),MINDS!CY$87," "&amp;MINDS!CY$87)</f>
        <v xml:space="preserve"> </v>
      </c>
      <c r="CZ17" s="2" t="str">
        <f>IF(ISNUMBER(MINDS!CZ$87),MINDS!CZ$87," "&amp;MINDS!CZ$87)</f>
        <v xml:space="preserve"> </v>
      </c>
      <c r="DA17" s="2" t="str">
        <f>IF(ISNUMBER(MINDS!DA$87),MINDS!DA$87," "&amp;MINDS!DA$87)</f>
        <v xml:space="preserve"> </v>
      </c>
      <c r="DB17" s="2" t="str">
        <f>IF(ISNUMBER(MINDS!DB$87),MINDS!DB$87," "&amp;MINDS!DB$87)</f>
        <v xml:space="preserve"> </v>
      </c>
      <c r="DC17" s="2" t="str">
        <f>IF(ISNUMBER(MINDS!DC$87),MINDS!DC$87," "&amp;MINDS!DC$87)</f>
        <v xml:space="preserve"> </v>
      </c>
      <c r="DD17" s="2" t="str">
        <f>IF(ISNUMBER(MINDS!DD$87),MINDS!DD$87," "&amp;MINDS!DD$87)</f>
        <v xml:space="preserve"> </v>
      </c>
      <c r="DE17" s="2" t="str">
        <f>IF(ISNUMBER(MINDS!DE$87),MINDS!DE$87," "&amp;MINDS!DE$87)</f>
        <v xml:space="preserve"> </v>
      </c>
      <c r="DF17" s="2" t="str">
        <f>IF(ISNUMBER(MINDS!DF$87),MINDS!DF$87," "&amp;MINDS!DF$87)</f>
        <v xml:space="preserve"> </v>
      </c>
      <c r="DG17" s="2" t="str">
        <f>IF(ISNUMBER(MINDS!DG$87),MINDS!DG$87," "&amp;MINDS!DG$87)</f>
        <v xml:space="preserve"> </v>
      </c>
      <c r="DH17" s="2" t="str">
        <f>IF(ISNUMBER(MINDS!DH$87),MINDS!DH$87," "&amp;MINDS!DH$87)</f>
        <v xml:space="preserve"> </v>
      </c>
      <c r="DI17" s="2" t="str">
        <f>IF(ISNUMBER(MINDS!DI$87),MINDS!DI$87," "&amp;MINDS!DI$87)</f>
        <v xml:space="preserve"> </v>
      </c>
      <c r="DJ17" s="2" t="str">
        <f>IF(ISNUMBER(MINDS!DJ$87),MINDS!DJ$87," "&amp;MINDS!DJ$87)</f>
        <v xml:space="preserve"> </v>
      </c>
      <c r="DK17" s="2" t="str">
        <f>IF(ISNUMBER(MINDS!DK$87),MINDS!DK$87," "&amp;MINDS!DK$87)</f>
        <v xml:space="preserve"> </v>
      </c>
      <c r="DL17" s="2" t="str">
        <f>IF(ISNUMBER(MINDS!DL$87),MINDS!DL$87," "&amp;MINDS!DL$87)</f>
        <v xml:space="preserve"> </v>
      </c>
      <c r="DM17" s="2" t="str">
        <f>IF(ISNUMBER(MINDS!DM$87),MINDS!DM$87," "&amp;MINDS!DM$87)</f>
        <v xml:space="preserve"> </v>
      </c>
      <c r="DN17" s="2" t="str">
        <f>IF(ISNUMBER(MINDS!DN$87),MINDS!DN$87," "&amp;MINDS!DN$87)</f>
        <v xml:space="preserve"> </v>
      </c>
      <c r="DO17" s="2" t="str">
        <f>IF(ISNUMBER(MINDS!DO$87),MINDS!DO$87," "&amp;MINDS!DO$87)</f>
        <v xml:space="preserve"> </v>
      </c>
      <c r="DP17" s="2" t="str">
        <f>IF(ISNUMBER(MINDS!DP$87),MINDS!DP$87," "&amp;MINDS!DP$87)</f>
        <v xml:space="preserve"> </v>
      </c>
      <c r="DQ17" s="2" t="str">
        <f>IF(ISNUMBER(MINDS!DQ$87),MINDS!DQ$87," "&amp;MINDS!DQ$87)</f>
        <v xml:space="preserve"> </v>
      </c>
      <c r="DR17" s="2" t="str">
        <f>IF(ISNUMBER(MINDS!DR$87),MINDS!DR$87," "&amp;MINDS!DR$87)</f>
        <v xml:space="preserve"> </v>
      </c>
      <c r="DS17" s="2" t="str">
        <f>IF(ISNUMBER(MINDS!DS$87),MINDS!DS$87," "&amp;MINDS!DS$87)</f>
        <v xml:space="preserve"> </v>
      </c>
      <c r="DT17" s="2" t="str">
        <f>IF(ISNUMBER(MINDS!DT$87),MINDS!DT$87," "&amp;MINDS!DT$87)</f>
        <v xml:space="preserve"> </v>
      </c>
      <c r="DU17" s="2" t="str">
        <f>IF(ISNUMBER(MINDS!DU$87),MINDS!DU$87," "&amp;MINDS!DU$87)</f>
        <v xml:space="preserve"> </v>
      </c>
      <c r="DV17" s="2" t="str">
        <f>IF(ISNUMBER(MINDS!DV$87),MINDS!DV$87," "&amp;MINDS!DV$87)</f>
        <v xml:space="preserve"> </v>
      </c>
      <c r="DW17" s="2" t="str">
        <f>IF(ISNUMBER(MINDS!DW$87),MINDS!DW$87," "&amp;MINDS!DW$87)</f>
        <v xml:space="preserve"> </v>
      </c>
      <c r="DX17" s="2" t="str">
        <f>IF(ISNUMBER(MINDS!DX$87),MINDS!DX$87," "&amp;MINDS!DX$87)</f>
        <v xml:space="preserve"> </v>
      </c>
      <c r="DY17" s="2" t="str">
        <f>IF(ISNUMBER(MINDS!DY$87),MINDS!DY$87," "&amp;MINDS!DY$87)</f>
        <v xml:space="preserve"> </v>
      </c>
      <c r="DZ17" s="2" t="str">
        <f>IF(ISNUMBER(MINDS!DZ$87),MINDS!DZ$87," "&amp;MINDS!DZ$87)</f>
        <v xml:space="preserve"> </v>
      </c>
      <c r="EA17" s="2" t="str">
        <f>IF(ISNUMBER(MINDS!EA$87),MINDS!EA$87," "&amp;MINDS!EA$87)</f>
        <v xml:space="preserve"> </v>
      </c>
      <c r="EB17" s="2" t="str">
        <f>IF(ISNUMBER(MINDS!EB$87),MINDS!EB$87," "&amp;MINDS!EB$87)</f>
        <v xml:space="preserve"> </v>
      </c>
      <c r="EC17" s="2" t="str">
        <f>IF(ISNUMBER(MINDS!EC$87),MINDS!EC$87," "&amp;MINDS!EC$87)</f>
        <v xml:space="preserve"> </v>
      </c>
      <c r="ED17" s="2" t="str">
        <f>IF(ISNUMBER(MINDS!ED$87),MINDS!ED$87," "&amp;MINDS!ED$87)</f>
        <v xml:space="preserve"> </v>
      </c>
      <c r="EE17" s="2" t="str">
        <f>IF(ISNUMBER(MINDS!EE$87),MINDS!EE$87," "&amp;MINDS!EE$87)</f>
        <v xml:space="preserve"> </v>
      </c>
      <c r="EF17" s="2" t="str">
        <f>IF(ISNUMBER(MINDS!EF$87),MINDS!EF$87," "&amp;MINDS!EF$87)</f>
        <v xml:space="preserve"> </v>
      </c>
      <c r="EG17" s="2" t="str">
        <f>IF(ISNUMBER(MINDS!EG$87),MINDS!EG$87," "&amp;MINDS!EG$87)</f>
        <v xml:space="preserve"> </v>
      </c>
      <c r="EH17" s="2" t="str">
        <f>IF(ISNUMBER(MINDS!EH$87),MINDS!EH$87," "&amp;MINDS!EH$87)</f>
        <v xml:space="preserve"> </v>
      </c>
      <c r="EI17" s="2" t="str">
        <f>IF(ISNUMBER(MINDS!EI$87),MINDS!EI$87," "&amp;MINDS!EI$87)</f>
        <v xml:space="preserve"> </v>
      </c>
      <c r="EJ17" s="2" t="str">
        <f>IF(ISNUMBER(MINDS!EJ$87),MINDS!EJ$87," "&amp;MINDS!EJ$87)</f>
        <v xml:space="preserve"> </v>
      </c>
      <c r="EK17" s="2" t="str">
        <f>IF(ISNUMBER(MINDS!EK$87),MINDS!EK$87," "&amp;MINDS!EK$87)</f>
        <v xml:space="preserve"> </v>
      </c>
      <c r="EL17" s="2" t="str">
        <f>IF(ISNUMBER(MINDS!EL$87),MINDS!EL$87," "&amp;MINDS!EL$87)</f>
        <v xml:space="preserve"> </v>
      </c>
      <c r="EM17" s="2" t="str">
        <f>IF(ISNUMBER(MINDS!EM$87),MINDS!EM$87," "&amp;MINDS!EM$87)</f>
        <v xml:space="preserve"> </v>
      </c>
      <c r="EN17" s="2" t="str">
        <f>IF(ISNUMBER(MINDS!EN$87),MINDS!EN$87," "&amp;MINDS!EN$87)</f>
        <v xml:space="preserve"> </v>
      </c>
      <c r="EO17" s="2" t="str">
        <f>IF(ISNUMBER(MINDS!EO$87),MINDS!EO$87," "&amp;MINDS!EO$87)</f>
        <v xml:space="preserve"> </v>
      </c>
      <c r="EP17" s="2" t="str">
        <f>IF(ISNUMBER(MINDS!EP$87),MINDS!EP$87," "&amp;MINDS!EP$87)</f>
        <v xml:space="preserve"> </v>
      </c>
      <c r="EQ17" s="2" t="str">
        <f>IF(ISNUMBER(MINDS!EQ$87),MINDS!EQ$87," "&amp;MINDS!EQ$87)</f>
        <v xml:space="preserve"> </v>
      </c>
      <c r="ER17" s="2" t="str">
        <f>IF(ISNUMBER(MINDS!ER$87),MINDS!ER$87," "&amp;MINDS!ER$87)</f>
        <v xml:space="preserve"> </v>
      </c>
      <c r="ES17" s="2" t="str">
        <f>IF(ISNUMBER(MINDS!ES$87),MINDS!ES$87," "&amp;MINDS!ES$87)</f>
        <v xml:space="preserve"> </v>
      </c>
      <c r="ET17" s="2" t="str">
        <f>IF(ISNUMBER(MINDS!ET$87),MINDS!ET$87," "&amp;MINDS!ET$87)</f>
        <v xml:space="preserve"> </v>
      </c>
      <c r="EU17" s="2" t="str">
        <f>IF(ISNUMBER(MINDS!EU$87),MINDS!EU$87," "&amp;MINDS!EU$87)</f>
        <v xml:space="preserve"> </v>
      </c>
      <c r="EV17" s="2" t="str">
        <f>IF(ISNUMBER(MINDS!EV$87),MINDS!EV$87," "&amp;MINDS!EV$87)</f>
        <v xml:space="preserve"> </v>
      </c>
      <c r="EW17" s="2" t="str">
        <f>IF(ISNUMBER(MINDS!EW$87),MINDS!EW$87," "&amp;MINDS!EW$87)</f>
        <v xml:space="preserve"> </v>
      </c>
      <c r="EX17" s="2" t="str">
        <f>IF(ISNUMBER(MINDS!EX$87),MINDS!EX$87," "&amp;MINDS!EX$87)</f>
        <v xml:space="preserve"> </v>
      </c>
      <c r="EY17" s="2" t="str">
        <f>IF(ISNUMBER(MINDS!EY$87),MINDS!EY$87," "&amp;MINDS!EY$87)</f>
        <v xml:space="preserve"> </v>
      </c>
      <c r="EZ17" s="2" t="str">
        <f>IF(ISNUMBER(MINDS!EZ$87),MINDS!EZ$87," "&amp;MINDS!EZ$87)</f>
        <v xml:space="preserve"> </v>
      </c>
      <c r="FA17" s="2" t="str">
        <f>IF(ISNUMBER(MINDS!FA$87),MINDS!FA$87," "&amp;MINDS!FA$87)</f>
        <v xml:space="preserve"> </v>
      </c>
      <c r="FB17" s="2" t="str">
        <f>IF(ISNUMBER(MINDS!FB$87),MINDS!FB$87," "&amp;MINDS!FB$87)</f>
        <v xml:space="preserve"> </v>
      </c>
      <c r="FC17" s="2" t="str">
        <f>IF(ISNUMBER(MINDS!FC$87),MINDS!FC$87," "&amp;MINDS!FC$87)</f>
        <v xml:space="preserve"> </v>
      </c>
      <c r="FD17" s="2" t="str">
        <f>IF(ISNUMBER(MINDS!FD$87),MINDS!FD$87," "&amp;MINDS!FD$87)</f>
        <v xml:space="preserve"> </v>
      </c>
      <c r="FE17" s="2" t="str">
        <f>IF(ISNUMBER(MINDS!FE$87),MINDS!FE$87," "&amp;MINDS!FE$87)</f>
        <v xml:space="preserve"> </v>
      </c>
      <c r="FF17" s="2" t="str">
        <f>IF(ISNUMBER(MINDS!FF$87),MINDS!FF$87," "&amp;MINDS!FF$87)</f>
        <v xml:space="preserve"> </v>
      </c>
      <c r="FG17" s="2" t="str">
        <f>IF(ISNUMBER(MINDS!FG$87),MINDS!FG$87," "&amp;MINDS!FG$87)</f>
        <v xml:space="preserve"> </v>
      </c>
      <c r="FH17" s="2" t="str">
        <f>IF(ISNUMBER(MINDS!FH$87),MINDS!FH$87," "&amp;MINDS!FH$87)</f>
        <v xml:space="preserve"> </v>
      </c>
      <c r="FI17" s="2" t="str">
        <f>IF(ISNUMBER(MINDS!FI$87),MINDS!FI$87," "&amp;MINDS!FI$87)</f>
        <v xml:space="preserve"> </v>
      </c>
      <c r="FJ17" s="2" t="str">
        <f>IF(ISNUMBER(MINDS!FJ$87),MINDS!FJ$87," "&amp;MINDS!FJ$87)</f>
        <v xml:space="preserve"> </v>
      </c>
      <c r="FK17" s="2" t="str">
        <f>IF(ISNUMBER(MINDS!FK$87),MINDS!FK$87," "&amp;MINDS!FK$87)</f>
        <v xml:space="preserve"> </v>
      </c>
      <c r="FL17" s="2" t="str">
        <f>IF(ISNUMBER(MINDS!FL$87),MINDS!FL$87," "&amp;MINDS!FL$87)</f>
        <v xml:space="preserve"> </v>
      </c>
      <c r="FM17" s="2" t="str">
        <f>IF(ISNUMBER(MINDS!FM$87),MINDS!FM$87," "&amp;MINDS!FM$87)</f>
        <v xml:space="preserve"> </v>
      </c>
      <c r="FN17" s="2" t="str">
        <f>IF(ISNUMBER(MINDS!FN$87),MINDS!FN$87," "&amp;MINDS!FN$87)</f>
        <v xml:space="preserve"> </v>
      </c>
      <c r="FO17" s="2" t="str">
        <f>IF(ISNUMBER(MINDS!FO$87),MINDS!FO$87," "&amp;MINDS!FO$87)</f>
        <v xml:space="preserve"> </v>
      </c>
      <c r="FP17" s="2" t="str">
        <f>IF(ISNUMBER(MINDS!FP$87),MINDS!FP$87," "&amp;MINDS!FP$87)</f>
        <v xml:space="preserve"> </v>
      </c>
      <c r="FQ17" s="2" t="str">
        <f>IF(ISNUMBER(MINDS!FQ$87),MINDS!FQ$87," "&amp;MINDS!FQ$87)</f>
        <v xml:space="preserve"> </v>
      </c>
      <c r="FR17" s="2" t="str">
        <f>IF(ISNUMBER(MINDS!FR$87),MINDS!FR$87," "&amp;MINDS!FR$87)</f>
        <v xml:space="preserve"> </v>
      </c>
      <c r="FS17" s="2" t="str">
        <f>IF(ISNUMBER(MINDS!FS$87),MINDS!FS$87," "&amp;MINDS!FS$87)</f>
        <v xml:space="preserve"> </v>
      </c>
      <c r="FT17" s="2" t="str">
        <f>IF(ISNUMBER(MINDS!FT$87),MINDS!FT$87," "&amp;MINDS!FT$87)</f>
        <v xml:space="preserve"> </v>
      </c>
      <c r="FU17" s="2" t="str">
        <f>IF(ISNUMBER(MINDS!FU$87),MINDS!FU$87," "&amp;MINDS!FU$87)</f>
        <v xml:space="preserve"> </v>
      </c>
      <c r="FV17" s="2" t="str">
        <f>IF(ISNUMBER(MINDS!FV$87),MINDS!FV$87," "&amp;MINDS!FV$87)</f>
        <v xml:space="preserve"> </v>
      </c>
      <c r="FW17" s="2" t="str">
        <f>IF(ISNUMBER(MINDS!FW$87),MINDS!FW$87," "&amp;MINDS!FW$87)</f>
        <v xml:space="preserve"> </v>
      </c>
      <c r="FX17" s="2" t="str">
        <f>IF(ISNUMBER(MINDS!FX$87),MINDS!FX$87," "&amp;MINDS!FX$87)</f>
        <v xml:space="preserve"> </v>
      </c>
      <c r="FY17" s="2" t="str">
        <f>IF(ISNUMBER(MINDS!FY$87),MINDS!FY$87," "&amp;MINDS!FY$87)</f>
        <v xml:space="preserve"> </v>
      </c>
      <c r="FZ17" s="2" t="str">
        <f>IF(ISNUMBER(MINDS!FZ$87),MINDS!FZ$87," "&amp;MINDS!FZ$87)</f>
        <v xml:space="preserve"> </v>
      </c>
      <c r="GA17" s="2" t="str">
        <f>IF(ISNUMBER(MINDS!GA$87),MINDS!GA$87," "&amp;MINDS!GA$87)</f>
        <v xml:space="preserve"> </v>
      </c>
      <c r="GB17" s="2" t="str">
        <f>IF(ISNUMBER(MINDS!GB$87),MINDS!GB$87," "&amp;MINDS!GB$87)</f>
        <v xml:space="preserve"> </v>
      </c>
      <c r="GC17" s="2" t="str">
        <f>IF(ISNUMBER(MINDS!GC$87),MINDS!GC$87," "&amp;MINDS!GC$87)</f>
        <v xml:space="preserve"> </v>
      </c>
      <c r="GD17" s="2" t="str">
        <f>IF(ISNUMBER(MINDS!GD$87),MINDS!GD$87," "&amp;MINDS!GD$87)</f>
        <v xml:space="preserve"> </v>
      </c>
      <c r="GE17" s="2" t="str">
        <f>IF(ISNUMBER(MINDS!GE$87),MINDS!GE$87," "&amp;MINDS!GE$87)</f>
        <v xml:space="preserve"> </v>
      </c>
      <c r="GF17" s="2" t="str">
        <f>IF(ISNUMBER(MINDS!GF$87),MINDS!GF$87," "&amp;MINDS!GF$87)</f>
        <v xml:space="preserve"> </v>
      </c>
      <c r="GG17" s="2" t="str">
        <f>IF(ISNUMBER(MINDS!GG$87),MINDS!GG$87," "&amp;MINDS!GG$87)</f>
        <v xml:space="preserve"> </v>
      </c>
      <c r="GH17" s="2" t="str">
        <f>IF(ISNUMBER(MINDS!GH$87),MINDS!GH$87," "&amp;MINDS!GH$87)</f>
        <v xml:space="preserve"> </v>
      </c>
      <c r="GI17" s="2" t="str">
        <f>IF(ISNUMBER(MINDS!GI$87),MINDS!GI$87," "&amp;MINDS!GI$87)</f>
        <v xml:space="preserve"> </v>
      </c>
      <c r="GJ17" s="2" t="str">
        <f>IF(ISNUMBER(MINDS!GJ$87),MINDS!GJ$87," "&amp;MINDS!GJ$87)</f>
        <v xml:space="preserve"> </v>
      </c>
      <c r="GK17" s="2" t="str">
        <f>IF(ISNUMBER(MINDS!GK$87),MINDS!GK$87," "&amp;MINDS!GK$87)</f>
        <v xml:space="preserve"> </v>
      </c>
      <c r="GL17" s="2" t="str">
        <f>IF(ISNUMBER(MINDS!GL$87),MINDS!GL$87," "&amp;MINDS!GL$87)</f>
        <v xml:space="preserve"> </v>
      </c>
      <c r="GM17" s="2" t="str">
        <f>IF(ISNUMBER(MINDS!GM$87),MINDS!GM$87," "&amp;MINDS!GM$87)</f>
        <v xml:space="preserve"> </v>
      </c>
      <c r="GN17" s="2" t="str">
        <f>IF(ISNUMBER(MINDS!GN$87),MINDS!GN$87," "&amp;MINDS!GN$87)</f>
        <v xml:space="preserve"> </v>
      </c>
      <c r="GO17" s="2" t="str">
        <f>IF(ISNUMBER(MINDS!GO$87),MINDS!GO$87," "&amp;MINDS!GO$87)</f>
        <v xml:space="preserve"> </v>
      </c>
      <c r="GP17" s="2" t="str">
        <f>IF(ISNUMBER(MINDS!GP$87),MINDS!GP$87," "&amp;MINDS!GP$87)</f>
        <v xml:space="preserve"> </v>
      </c>
      <c r="GQ17" s="2" t="str">
        <f>IF(ISNUMBER(MINDS!GQ$87),MINDS!GQ$87," "&amp;MINDS!GQ$87)</f>
        <v xml:space="preserve"> </v>
      </c>
      <c r="GR17" s="2" t="str">
        <f>IF(ISNUMBER(MINDS!GR$87),MINDS!GR$87," "&amp;MINDS!GR$87)</f>
        <v xml:space="preserve"> </v>
      </c>
      <c r="GS17" s="2" t="str">
        <f>IF(ISNUMBER(MINDS!GS$87),MINDS!GS$87," "&amp;MINDS!GS$87)</f>
        <v xml:space="preserve"> </v>
      </c>
      <c r="GT17" s="2" t="str">
        <f>IF(ISNUMBER(MINDS!GT$87),MINDS!GT$87," "&amp;MINDS!GT$87)</f>
        <v xml:space="preserve"> </v>
      </c>
      <c r="GU17" s="2" t="str">
        <f>IF(ISNUMBER(MINDS!GU$87),MINDS!GU$87," "&amp;MINDS!GU$87)</f>
        <v xml:space="preserve"> </v>
      </c>
      <c r="GV17" s="2" t="str">
        <f>IF(ISNUMBER(MINDS!GV$87),MINDS!GV$87," "&amp;MINDS!GV$87)</f>
        <v xml:space="preserve"> </v>
      </c>
      <c r="GW17" s="2" t="str">
        <f>IF(ISNUMBER(MINDS!GW$87),MINDS!GW$87," "&amp;MINDS!GW$87)</f>
        <v xml:space="preserve"> </v>
      </c>
      <c r="GX17" s="2" t="str">
        <f>IF(ISNUMBER(MINDS!GX$87),MINDS!GX$87," "&amp;MINDS!GX$87)</f>
        <v xml:space="preserve"> </v>
      </c>
      <c r="GY17" s="2" t="str">
        <f>IF(ISNUMBER(MINDS!GY$87),MINDS!GY$87," "&amp;MINDS!GY$87)</f>
        <v xml:space="preserve"> </v>
      </c>
      <c r="GZ17" s="2" t="str">
        <f>IF(ISNUMBER(MINDS!GZ$87),MINDS!GZ$87," "&amp;MINDS!GZ$87)</f>
        <v xml:space="preserve"> </v>
      </c>
      <c r="HA17" s="2" t="str">
        <f>IF(ISNUMBER(MINDS!HA$87),MINDS!HA$87," "&amp;MINDS!HA$87)</f>
        <v xml:space="preserve"> </v>
      </c>
      <c r="HB17" s="2" t="str">
        <f>IF(ISNUMBER(MINDS!HB$87),MINDS!HB$87," "&amp;MINDS!HB$87)</f>
        <v xml:space="preserve"> </v>
      </c>
      <c r="HC17" s="2" t="str">
        <f>IF(ISNUMBER(MINDS!HC$87),MINDS!HC$87," "&amp;MINDS!HC$87)</f>
        <v xml:space="preserve"> </v>
      </c>
      <c r="HD17" s="2" t="str">
        <f>IF(ISNUMBER(MINDS!HD$87),MINDS!HD$87," "&amp;MINDS!HD$87)</f>
        <v xml:space="preserve"> </v>
      </c>
      <c r="HE17" s="2" t="str">
        <f>IF(ISNUMBER(MINDS!HE$87),MINDS!HE$87," "&amp;MINDS!HE$87)</f>
        <v xml:space="preserve"> </v>
      </c>
      <c r="HF17" s="2" t="str">
        <f>IF(ISNUMBER(MINDS!HF$87),MINDS!HF$87," "&amp;MINDS!HF$87)</f>
        <v xml:space="preserve"> </v>
      </c>
      <c r="HG17" s="2" t="str">
        <f>IF(ISNUMBER(MINDS!HG$87),MINDS!HG$87," "&amp;MINDS!HG$87)</f>
        <v xml:space="preserve"> </v>
      </c>
      <c r="HH17" s="2" t="str">
        <f>IF(ISNUMBER(MINDS!HH$87),MINDS!HH$87," "&amp;MINDS!HH$87)</f>
        <v xml:space="preserve"> </v>
      </c>
      <c r="HI17" s="2" t="str">
        <f>IF(ISNUMBER(MINDS!HI$87),MINDS!HI$87," "&amp;MINDS!HI$87)</f>
        <v xml:space="preserve"> </v>
      </c>
      <c r="HJ17" s="2" t="str">
        <f>IF(ISNUMBER(MINDS!HJ$87),MINDS!HJ$87," "&amp;MINDS!HJ$87)</f>
        <v xml:space="preserve"> </v>
      </c>
      <c r="HK17" s="2" t="str">
        <f>IF(ISNUMBER(MINDS!HK$87),MINDS!HK$87," "&amp;MINDS!HK$87)</f>
        <v xml:space="preserve"> </v>
      </c>
      <c r="HL17" s="2" t="str">
        <f>IF(ISNUMBER(MINDS!HL$87),MINDS!HL$87," "&amp;MINDS!HL$87)</f>
        <v xml:space="preserve"> </v>
      </c>
      <c r="HM17" s="2" t="str">
        <f>IF(ISNUMBER(MINDS!HM$87),MINDS!HM$87," "&amp;MINDS!HM$87)</f>
        <v xml:space="preserve"> </v>
      </c>
      <c r="HN17" s="2" t="str">
        <f>IF(ISNUMBER(MINDS!HN$87),MINDS!HN$87," "&amp;MINDS!HN$87)</f>
        <v xml:space="preserve"> </v>
      </c>
      <c r="HO17" s="2" t="str">
        <f>IF(ISNUMBER(MINDS!HO$87),MINDS!HO$87," "&amp;MINDS!HO$87)</f>
        <v xml:space="preserve"> </v>
      </c>
      <c r="HP17" s="2" t="str">
        <f>IF(ISNUMBER(MINDS!HP$87),MINDS!HP$87," "&amp;MINDS!HP$87)</f>
        <v xml:space="preserve"> </v>
      </c>
      <c r="HQ17" s="2" t="str">
        <f>IF(ISNUMBER(MINDS!HQ$87),MINDS!HQ$87," "&amp;MINDS!HQ$87)</f>
        <v xml:space="preserve"> </v>
      </c>
      <c r="HR17" s="2" t="str">
        <f>IF(ISNUMBER(MINDS!HR$87),MINDS!HR$87," "&amp;MINDS!HR$87)</f>
        <v xml:space="preserve"> </v>
      </c>
      <c r="HS17" s="2" t="str">
        <f>IF(ISNUMBER(MINDS!HS$87),MINDS!HS$87," "&amp;MINDS!HS$87)</f>
        <v xml:space="preserve"> </v>
      </c>
      <c r="HT17" s="2" t="str">
        <f>IF(ISNUMBER(MINDS!HT$87),MINDS!HT$87," "&amp;MINDS!HT$87)</f>
        <v xml:space="preserve"> </v>
      </c>
      <c r="HU17" s="2" t="str">
        <f>IF(ISNUMBER(MINDS!HU$87),MINDS!HU$87," "&amp;MINDS!HU$87)</f>
        <v xml:space="preserve"> </v>
      </c>
      <c r="HV17" s="2" t="str">
        <f>IF(ISNUMBER(MINDS!HV$87),MINDS!HV$87," "&amp;MINDS!HV$87)</f>
        <v xml:space="preserve"> </v>
      </c>
      <c r="HW17" s="2" t="str">
        <f>IF(ISNUMBER(MINDS!HW$87),MINDS!HW$87," "&amp;MINDS!HW$87)</f>
        <v xml:space="preserve"> </v>
      </c>
      <c r="HX17" s="2" t="str">
        <f>IF(ISNUMBER(MINDS!HX$87),MINDS!HX$87," "&amp;MINDS!HX$87)</f>
        <v xml:space="preserve"> </v>
      </c>
      <c r="HY17" s="2" t="str">
        <f>IF(ISNUMBER(MINDS!HY$87),MINDS!HY$87," "&amp;MINDS!HY$87)</f>
        <v xml:space="preserve"> </v>
      </c>
      <c r="HZ17" s="2" t="str">
        <f>IF(ISNUMBER(MINDS!HZ$87),MINDS!HZ$87," "&amp;MINDS!HZ$87)</f>
        <v xml:space="preserve"> </v>
      </c>
      <c r="IA17" s="2" t="str">
        <f>IF(ISNUMBER(MINDS!IA$87),MINDS!IA$87," "&amp;MINDS!IA$87)</f>
        <v xml:space="preserve"> </v>
      </c>
      <c r="IB17" s="2" t="str">
        <f>IF(ISNUMBER(MINDS!IB$87),MINDS!IB$87," "&amp;MINDS!IB$87)</f>
        <v xml:space="preserve"> </v>
      </c>
      <c r="IC17" s="2" t="str">
        <f>IF(ISNUMBER(MINDS!IC$87),MINDS!IC$87," "&amp;MINDS!IC$87)</f>
        <v xml:space="preserve"> </v>
      </c>
      <c r="ID17" s="2" t="str">
        <f>IF(ISNUMBER(MINDS!ID$87),MINDS!ID$87," "&amp;MINDS!ID$87)</f>
        <v xml:space="preserve"> </v>
      </c>
      <c r="IE17" s="2" t="str">
        <f>IF(ISNUMBER(MINDS!IE$87),MINDS!IE$87," "&amp;MINDS!IE$87)</f>
        <v xml:space="preserve"> </v>
      </c>
      <c r="IF17" s="2" t="str">
        <f>IF(ISNUMBER(MINDS!IF$87),MINDS!IF$87," "&amp;MINDS!IF$87)</f>
        <v xml:space="preserve"> </v>
      </c>
      <c r="IG17" s="2" t="str">
        <f>IF(ISNUMBER(MINDS!IG$87),MINDS!IG$87," "&amp;MINDS!IG$87)</f>
        <v xml:space="preserve"> </v>
      </c>
      <c r="IH17" s="2" t="str">
        <f>IF(ISNUMBER(MINDS!IH$87),MINDS!IH$87," "&amp;MINDS!IH$87)</f>
        <v xml:space="preserve"> </v>
      </c>
      <c r="II17" s="2" t="str">
        <f>IF(ISNUMBER(MINDS!II$87),MINDS!II$87," "&amp;MINDS!II$87)</f>
        <v xml:space="preserve"> </v>
      </c>
      <c r="IJ17" s="2" t="str">
        <f>IF(ISNUMBER(MINDS!IJ$87),MINDS!IJ$87," "&amp;MINDS!IJ$87)</f>
        <v xml:space="preserve"> </v>
      </c>
      <c r="IK17" s="2" t="str">
        <f>IF(ISNUMBER(MINDS!IK$87),MINDS!IK$87," "&amp;MINDS!IK$87)</f>
        <v xml:space="preserve"> </v>
      </c>
      <c r="IL17" s="2" t="str">
        <f>IF(ISNUMBER(MINDS!IL$87),MINDS!IL$87," "&amp;MINDS!IL$87)</f>
        <v xml:space="preserve"> </v>
      </c>
      <c r="IM17" s="2" t="str">
        <f>IF(ISNUMBER(MINDS!IM$87),MINDS!IM$87," "&amp;MINDS!IM$87)</f>
        <v xml:space="preserve"> </v>
      </c>
      <c r="IN17" s="2" t="str">
        <f>IF(ISNUMBER(MINDS!IN$87),MINDS!IN$87," "&amp;MINDS!IN$87)</f>
        <v xml:space="preserve"> </v>
      </c>
      <c r="IO17" s="2" t="str">
        <f>IF(ISNUMBER(MINDS!IO$87),MINDS!IO$87," "&amp;MINDS!IO$87)</f>
        <v xml:space="preserve"> </v>
      </c>
      <c r="IP17" s="2" t="str">
        <f>IF(ISNUMBER(MINDS!IP$87),MINDS!IP$87," "&amp;MINDS!IP$87)</f>
        <v xml:space="preserve"> </v>
      </c>
      <c r="IQ17" s="2" t="str">
        <f>IF(ISNUMBER(MINDS!IQ$87),MINDS!IQ$87," "&amp;MINDS!IQ$87)</f>
        <v xml:space="preserve"> </v>
      </c>
      <c r="IR17" s="2" t="str">
        <f>IF(ISNUMBER(MINDS!IR$87),MINDS!IR$87," "&amp;MINDS!IR$87)</f>
        <v xml:space="preserve"> </v>
      </c>
      <c r="IS17" s="2" t="str">
        <f>IF(ISNUMBER(MINDS!IS$87),MINDS!IS$87," "&amp;MINDS!IS$87)</f>
        <v xml:space="preserve"> </v>
      </c>
      <c r="IT17" s="2" t="str">
        <f>IF(ISNUMBER(MINDS!IT$87),MINDS!IT$87," "&amp;MINDS!IT$87)</f>
        <v xml:space="preserve"> </v>
      </c>
      <c r="IU17" s="2" t="str">
        <f>IF(ISNUMBER(MINDS!IU$87),MINDS!IU$87," "&amp;MINDS!IU$87)</f>
        <v xml:space="preserve"> </v>
      </c>
      <c r="IV17" s="2" t="str">
        <f>IF(ISNUMBER(MINDS!IV$87),MINDS!IV$87," "&amp;MINDS!IV$87)</f>
        <v xml:space="preserve"> </v>
      </c>
    </row>
    <row r="18" spans="1:256" x14ac:dyDescent="0.2">
      <c r="A18" s="3" t="s">
        <v>35</v>
      </c>
    </row>
    <row r="19" spans="1:256" x14ac:dyDescent="0.2">
      <c r="A19" s="3" t="s">
        <v>36</v>
      </c>
    </row>
    <row r="20" spans="1:256" x14ac:dyDescent="0.2">
      <c r="A20" s="3" t="s">
        <v>37</v>
      </c>
    </row>
    <row r="21" spans="1:256" x14ac:dyDescent="0.2">
      <c r="A21" s="3"/>
    </row>
    <row r="22" spans="1:256" x14ac:dyDescent="0.2">
      <c r="A22" s="4" t="s">
        <v>0</v>
      </c>
      <c r="B22" s="6" t="e">
        <f>COLUMNS(ExperimentalMethodLookup)/2</f>
        <v>#NAME?</v>
      </c>
    </row>
    <row r="23" spans="1:256" x14ac:dyDescent="0.2">
      <c r="A23" s="3" t="str">
        <f>A22&amp;"ID"</f>
        <v>ActivityID</v>
      </c>
      <c r="C23" s="2" t="str">
        <f>IF(ISBLANK(MINDS!C$37),"",MINDS!$C$19&amp;".A.e."&amp;MINDS!C$37)</f>
        <v/>
      </c>
      <c r="D23" s="2" t="str">
        <f>IF(ISBLANK(MINDS!D$37),"",MINDS!$C$19&amp;".A.e."&amp;MINDS!D$37)</f>
        <v/>
      </c>
      <c r="E23" s="2" t="str">
        <f>IF(ISBLANK(MINDS!E$37),"",MINDS!$C$19&amp;".A.e."&amp;MINDS!E$37)</f>
        <v/>
      </c>
      <c r="F23" s="2" t="str">
        <f>IF(ISBLANK(MINDS!F$37),"",MINDS!$C$19&amp;".A.e."&amp;MINDS!F$37)</f>
        <v/>
      </c>
      <c r="G23" s="2" t="str">
        <f>IF(ISBLANK(MINDS!G$37),"",MINDS!$C$19&amp;".A.e."&amp;MINDS!G$37)</f>
        <v/>
      </c>
      <c r="H23" s="2" t="str">
        <f>IF(ISBLANK(MINDS!H$37),"",MINDS!$C$19&amp;".A.e."&amp;MINDS!H$37)</f>
        <v/>
      </c>
      <c r="I23" s="2" t="str">
        <f>IF(ISBLANK(MINDS!I$37),"",MINDS!$C$19&amp;".A.e."&amp;MINDS!I$37)</f>
        <v/>
      </c>
      <c r="J23" s="2" t="str">
        <f>IF(ISBLANK(MINDS!J$37),"",MINDS!$C$19&amp;".A.e."&amp;MINDS!J$37)</f>
        <v/>
      </c>
      <c r="K23" s="2" t="str">
        <f>IF(ISBLANK(MINDS!K$37),"",MINDS!$C$19&amp;".A.e."&amp;MINDS!K$37)</f>
        <v/>
      </c>
      <c r="L23" s="2" t="str">
        <f>IF(ISBLANK(MINDS!L$37),"",MINDS!$C$19&amp;".A.e."&amp;MINDS!L$37)</f>
        <v/>
      </c>
      <c r="M23" s="2" t="str">
        <f>IF(ISBLANK(MINDS!M$37),"",MINDS!$C$19&amp;".A.e."&amp;MINDS!M$37)</f>
        <v/>
      </c>
      <c r="N23" s="2" t="str">
        <f>IF(ISBLANK(MINDS!N$37),"",MINDS!$C$19&amp;".A.e."&amp;MINDS!N$37)</f>
        <v/>
      </c>
      <c r="O23" s="2" t="str">
        <f>IF(ISBLANK(MINDS!O$37),"",MINDS!$C$19&amp;".A.e."&amp;MINDS!O$37)</f>
        <v/>
      </c>
      <c r="P23" s="2" t="str">
        <f>IF(ISBLANK(MINDS!P$37),"",MINDS!$C$19&amp;".A.e."&amp;MINDS!P$37)</f>
        <v/>
      </c>
      <c r="Q23" s="2" t="str">
        <f>IF(ISBLANK(MINDS!Q$37),"",MINDS!$C$19&amp;".A.e."&amp;MINDS!Q$37)</f>
        <v/>
      </c>
      <c r="R23" s="2" t="str">
        <f>IF(ISBLANK(MINDS!R$37),"",MINDS!$C$19&amp;".A.e."&amp;MINDS!R$37)</f>
        <v/>
      </c>
      <c r="S23" s="2" t="str">
        <f>IF(ISBLANK(MINDS!S$37),"",MINDS!$C$19&amp;".A.e."&amp;MINDS!S$37)</f>
        <v/>
      </c>
      <c r="T23" s="2" t="str">
        <f>IF(ISBLANK(MINDS!T$37),"",MINDS!$C$19&amp;".A.e."&amp;MINDS!T$37)</f>
        <v/>
      </c>
      <c r="U23" s="2" t="str">
        <f>IF(ISBLANK(MINDS!U$37),"",MINDS!$C$19&amp;".A.e."&amp;MINDS!U$37)</f>
        <v/>
      </c>
      <c r="V23" s="2" t="str">
        <f>IF(ISBLANK(MINDS!V$37),"",MINDS!$C$19&amp;".A.e."&amp;MINDS!V$37)</f>
        <v/>
      </c>
      <c r="W23" s="2" t="str">
        <f>IF(ISBLANK(MINDS!W$37),"",MINDS!$C$19&amp;".A.e."&amp;MINDS!W$37)</f>
        <v/>
      </c>
      <c r="X23" s="2" t="str">
        <f>IF(ISBLANK(MINDS!X$37),"",MINDS!$C$19&amp;".A.e."&amp;MINDS!X$37)</f>
        <v/>
      </c>
      <c r="Y23" s="2" t="str">
        <f>IF(ISBLANK(MINDS!Y$37),"",MINDS!$C$19&amp;".A.e."&amp;MINDS!Y$37)</f>
        <v/>
      </c>
      <c r="Z23" s="2" t="str">
        <f>IF(ISBLANK(MINDS!Z$37),"",MINDS!$C$19&amp;".A.e."&amp;MINDS!Z$37)</f>
        <v/>
      </c>
      <c r="AA23" s="2" t="str">
        <f>IF(ISBLANK(MINDS!AA$37),"",MINDS!$C$19&amp;".A.e."&amp;MINDS!AA$37)</f>
        <v/>
      </c>
      <c r="AB23" s="2" t="str">
        <f>IF(ISBLANK(MINDS!AB$37),"",MINDS!$C$19&amp;".A.e."&amp;MINDS!AB$37)</f>
        <v/>
      </c>
      <c r="AC23" s="2" t="str">
        <f>IF(ISBLANK(MINDS!AC$37),"",MINDS!$C$19&amp;".A.e."&amp;MINDS!AC$37)</f>
        <v/>
      </c>
      <c r="AD23" s="2" t="str">
        <f>IF(ISBLANK(MINDS!AD$37),"",MINDS!$C$19&amp;".A.e."&amp;MINDS!AD$37)</f>
        <v/>
      </c>
      <c r="AE23" s="2" t="str">
        <f>IF(ISBLANK(MINDS!AE$37),"",MINDS!$C$19&amp;".A.e."&amp;MINDS!AE$37)</f>
        <v/>
      </c>
      <c r="AF23" s="2" t="str">
        <f>IF(ISBLANK(MINDS!AF$37),"",MINDS!$C$19&amp;".A.e."&amp;MINDS!AF$37)</f>
        <v/>
      </c>
      <c r="AG23" s="2" t="str">
        <f>IF(ISBLANK(MINDS!AG$37),"",MINDS!$C$19&amp;".A.e."&amp;MINDS!AG$37)</f>
        <v/>
      </c>
      <c r="AH23" s="2" t="str">
        <f>IF(ISBLANK(MINDS!AH$37),"",MINDS!$C$19&amp;".A.e."&amp;MINDS!AH$37)</f>
        <v/>
      </c>
      <c r="AI23" s="2" t="str">
        <f>IF(ISBLANK(MINDS!AI$37),"",MINDS!$C$19&amp;".A.e."&amp;MINDS!AI$37)</f>
        <v/>
      </c>
      <c r="AJ23" s="2" t="str">
        <f>IF(ISBLANK(MINDS!AJ$37),"",MINDS!$C$19&amp;".A.e."&amp;MINDS!AJ$37)</f>
        <v/>
      </c>
      <c r="AK23" s="2" t="str">
        <f>IF(ISBLANK(MINDS!AK$37),"",MINDS!$C$19&amp;".A.e."&amp;MINDS!AK$37)</f>
        <v/>
      </c>
      <c r="AL23" s="2" t="str">
        <f>IF(ISBLANK(MINDS!AL$37),"",MINDS!$C$19&amp;".A.e."&amp;MINDS!AL$37)</f>
        <v/>
      </c>
      <c r="AM23" s="2" t="str">
        <f>IF(ISBLANK(MINDS!AM$37),"",MINDS!$C$19&amp;".A.e."&amp;MINDS!AM$37)</f>
        <v/>
      </c>
      <c r="AN23" s="2" t="str">
        <f>IF(ISBLANK(MINDS!AN$37),"",MINDS!$C$19&amp;".A.e."&amp;MINDS!AN$37)</f>
        <v/>
      </c>
      <c r="AO23" s="2" t="str">
        <f>IF(ISBLANK(MINDS!AO$37),"",MINDS!$C$19&amp;".A.e."&amp;MINDS!AO$37)</f>
        <v/>
      </c>
      <c r="AP23" s="2" t="str">
        <f>IF(ISBLANK(MINDS!AP$37),"",MINDS!$C$19&amp;".A.e."&amp;MINDS!AP$37)</f>
        <v/>
      </c>
      <c r="AQ23" s="2" t="str">
        <f>IF(ISBLANK(MINDS!AQ$37),"",MINDS!$C$19&amp;".A.e."&amp;MINDS!AQ$37)</f>
        <v/>
      </c>
      <c r="AR23" s="2" t="str">
        <f>IF(ISBLANK(MINDS!AR$37),"",MINDS!$C$19&amp;".A.e."&amp;MINDS!AR$37)</f>
        <v/>
      </c>
      <c r="AS23" s="2" t="str">
        <f>IF(ISBLANK(MINDS!AS$37),"",MINDS!$C$19&amp;".A.e."&amp;MINDS!AS$37)</f>
        <v/>
      </c>
      <c r="AT23" s="2" t="str">
        <f>IF(ISBLANK(MINDS!AT$37),"",MINDS!$C$19&amp;".A.e."&amp;MINDS!AT$37)</f>
        <v/>
      </c>
      <c r="AU23" s="2" t="str">
        <f>IF(ISBLANK(MINDS!AU$37),"",MINDS!$C$19&amp;".A.e."&amp;MINDS!AU$37)</f>
        <v/>
      </c>
      <c r="AV23" s="2" t="str">
        <f>IF(ISBLANK(MINDS!AV$37),"",MINDS!$C$19&amp;".A.e."&amp;MINDS!AV$37)</f>
        <v/>
      </c>
      <c r="AW23" s="2" t="str">
        <f>IF(ISBLANK(MINDS!AW$37),"",MINDS!$C$19&amp;".A.e."&amp;MINDS!AW$37)</f>
        <v/>
      </c>
      <c r="AX23" s="2" t="str">
        <f>IF(ISBLANK(MINDS!AX$37),"",MINDS!$C$19&amp;".A.e."&amp;MINDS!AX$37)</f>
        <v/>
      </c>
      <c r="AY23" s="2" t="str">
        <f>IF(ISBLANK(MINDS!AY$37),"",MINDS!$C$19&amp;".A.e."&amp;MINDS!AY$37)</f>
        <v/>
      </c>
      <c r="AZ23" s="2" t="str">
        <f>IF(ISBLANK(MINDS!AZ$37),"",MINDS!$C$19&amp;".A.e."&amp;MINDS!AZ$37)</f>
        <v/>
      </c>
      <c r="BA23" s="2" t="str">
        <f>IF(ISBLANK(MINDS!BA$37),"",MINDS!$C$19&amp;".A.e."&amp;MINDS!BA$37)</f>
        <v/>
      </c>
      <c r="BB23" s="2" t="str">
        <f>IF(ISBLANK(MINDS!BB$37),"",MINDS!$C$19&amp;".A.e."&amp;MINDS!BB$37)</f>
        <v/>
      </c>
      <c r="BC23" s="2" t="str">
        <f>IF(ISBLANK(MINDS!BC$37),"",MINDS!$C$19&amp;".A.e."&amp;MINDS!BC$37)</f>
        <v/>
      </c>
      <c r="BD23" s="2" t="str">
        <f>IF(ISBLANK(MINDS!BD$37),"",MINDS!$C$19&amp;".A.e."&amp;MINDS!BD$37)</f>
        <v/>
      </c>
      <c r="BE23" s="2" t="str">
        <f>IF(ISBLANK(MINDS!BE$37),"",MINDS!$C$19&amp;".A.e."&amp;MINDS!BE$37)</f>
        <v/>
      </c>
      <c r="BF23" s="2" t="str">
        <f>IF(ISBLANK(MINDS!BF$37),"",MINDS!$C$19&amp;".A.e."&amp;MINDS!BF$37)</f>
        <v/>
      </c>
      <c r="BG23" s="2" t="str">
        <f>IF(ISBLANK(MINDS!BG$37),"",MINDS!$C$19&amp;".A.e."&amp;MINDS!BG$37)</f>
        <v/>
      </c>
      <c r="BH23" s="2" t="str">
        <f>IF(ISBLANK(MINDS!BH$37),"",MINDS!$C$19&amp;".A.e."&amp;MINDS!BH$37)</f>
        <v/>
      </c>
      <c r="BI23" s="2" t="str">
        <f>IF(ISBLANK(MINDS!BI$37),"",MINDS!$C$19&amp;".A.e."&amp;MINDS!BI$37)</f>
        <v/>
      </c>
      <c r="BJ23" s="2" t="str">
        <f>IF(ISBLANK(MINDS!BJ$37),"",MINDS!$C$19&amp;".A.e."&amp;MINDS!BJ$37)</f>
        <v/>
      </c>
      <c r="BK23" s="2" t="str">
        <f>IF(ISBLANK(MINDS!BK$37),"",MINDS!$C$19&amp;".A.e."&amp;MINDS!BK$37)</f>
        <v/>
      </c>
      <c r="BL23" s="2" t="str">
        <f>IF(ISBLANK(MINDS!BL$37),"",MINDS!$C$19&amp;".A.e."&amp;MINDS!BL$37)</f>
        <v/>
      </c>
      <c r="BM23" s="2" t="str">
        <f>IF(ISBLANK(MINDS!BM$37),"",MINDS!$C$19&amp;".A.e."&amp;MINDS!BM$37)</f>
        <v/>
      </c>
      <c r="BN23" s="2" t="str">
        <f>IF(ISBLANK(MINDS!BN$37),"",MINDS!$C$19&amp;".A.e."&amp;MINDS!BN$37)</f>
        <v/>
      </c>
      <c r="BO23" s="2" t="str">
        <f>IF(ISBLANK(MINDS!BO$37),"",MINDS!$C$19&amp;".A.e."&amp;MINDS!BO$37)</f>
        <v/>
      </c>
      <c r="BP23" s="2" t="str">
        <f>IF(ISBLANK(MINDS!BP$37),"",MINDS!$C$19&amp;".A.e."&amp;MINDS!BP$37)</f>
        <v/>
      </c>
      <c r="BQ23" s="2" t="str">
        <f>IF(ISBLANK(MINDS!BQ$37),"",MINDS!$C$19&amp;".A.e."&amp;MINDS!BQ$37)</f>
        <v/>
      </c>
      <c r="BR23" s="2" t="str">
        <f>IF(ISBLANK(MINDS!BR$37),"",MINDS!$C$19&amp;".A.e."&amp;MINDS!BR$37)</f>
        <v/>
      </c>
      <c r="BS23" s="2" t="str">
        <f>IF(ISBLANK(MINDS!BS$37),"",MINDS!$C$19&amp;".A.e."&amp;MINDS!BS$37)</f>
        <v/>
      </c>
      <c r="BT23" s="2" t="str">
        <f>IF(ISBLANK(MINDS!BT$37),"",MINDS!$C$19&amp;".A.e."&amp;MINDS!BT$37)</f>
        <v/>
      </c>
      <c r="BU23" s="2" t="str">
        <f>IF(ISBLANK(MINDS!BU$37),"",MINDS!$C$19&amp;".A.e."&amp;MINDS!BU$37)</f>
        <v/>
      </c>
      <c r="BV23" s="2" t="str">
        <f>IF(ISBLANK(MINDS!BV$37),"",MINDS!$C$19&amp;".A.e."&amp;MINDS!BV$37)</f>
        <v/>
      </c>
      <c r="BW23" s="2" t="str">
        <f>IF(ISBLANK(MINDS!BW$37),"",MINDS!$C$19&amp;".A.e."&amp;MINDS!BW$37)</f>
        <v/>
      </c>
      <c r="BX23" s="2" t="str">
        <f>IF(ISBLANK(MINDS!BX$37),"",MINDS!$C$19&amp;".A.e."&amp;MINDS!BX$37)</f>
        <v/>
      </c>
      <c r="BY23" s="2" t="str">
        <f>IF(ISBLANK(MINDS!BY$37),"",MINDS!$C$19&amp;".A.e."&amp;MINDS!BY$37)</f>
        <v/>
      </c>
      <c r="BZ23" s="2" t="str">
        <f>IF(ISBLANK(MINDS!BZ$37),"",MINDS!$C$19&amp;".A.e."&amp;MINDS!BZ$37)</f>
        <v/>
      </c>
      <c r="CA23" s="2" t="str">
        <f>IF(ISBLANK(MINDS!CA$37),"",MINDS!$C$19&amp;".A.e."&amp;MINDS!CA$37)</f>
        <v/>
      </c>
      <c r="CB23" s="2" t="str">
        <f>IF(ISBLANK(MINDS!CB$37),"",MINDS!$C$19&amp;".A.e."&amp;MINDS!CB$37)</f>
        <v/>
      </c>
      <c r="CC23" s="2" t="str">
        <f>IF(ISBLANK(MINDS!CC$37),"",MINDS!$C$19&amp;".A.e."&amp;MINDS!CC$37)</f>
        <v/>
      </c>
      <c r="CD23" s="2" t="str">
        <f>IF(ISBLANK(MINDS!CD$37),"",MINDS!$C$19&amp;".A.e."&amp;MINDS!CD$37)</f>
        <v/>
      </c>
      <c r="CE23" s="2" t="str">
        <f>IF(ISBLANK(MINDS!CE$37),"",MINDS!$C$19&amp;".A.e."&amp;MINDS!CE$37)</f>
        <v/>
      </c>
      <c r="CF23" s="2" t="str">
        <f>IF(ISBLANK(MINDS!CF$37),"",MINDS!$C$19&amp;".A.e."&amp;MINDS!CF$37)</f>
        <v/>
      </c>
      <c r="CG23" s="2" t="str">
        <f>IF(ISBLANK(MINDS!CG$37),"",MINDS!$C$19&amp;".A.e."&amp;MINDS!CG$37)</f>
        <v/>
      </c>
      <c r="CH23" s="2" t="str">
        <f>IF(ISBLANK(MINDS!CH$37),"",MINDS!$C$19&amp;".A.e."&amp;MINDS!CH$37)</f>
        <v/>
      </c>
      <c r="CI23" s="2" t="str">
        <f>IF(ISBLANK(MINDS!CI$37),"",MINDS!$C$19&amp;".A.e."&amp;MINDS!CI$37)</f>
        <v/>
      </c>
      <c r="CJ23" s="2" t="str">
        <f>IF(ISBLANK(MINDS!CJ$37),"",MINDS!$C$19&amp;".A.e."&amp;MINDS!CJ$37)</f>
        <v/>
      </c>
      <c r="CK23" s="2" t="str">
        <f>IF(ISBLANK(MINDS!CK$37),"",MINDS!$C$19&amp;".A.e."&amp;MINDS!CK$37)</f>
        <v/>
      </c>
      <c r="CL23" s="2" t="str">
        <f>IF(ISBLANK(MINDS!CL$37),"",MINDS!$C$19&amp;".A.e."&amp;MINDS!CL$37)</f>
        <v/>
      </c>
      <c r="CM23" s="2" t="str">
        <f>IF(ISBLANK(MINDS!CM$37),"",MINDS!$C$19&amp;".A.e."&amp;MINDS!CM$37)</f>
        <v/>
      </c>
      <c r="CN23" s="2" t="str">
        <f>IF(ISBLANK(MINDS!CN$37),"",MINDS!$C$19&amp;".A.e."&amp;MINDS!CN$37)</f>
        <v/>
      </c>
      <c r="CO23" s="2" t="str">
        <f>IF(ISBLANK(MINDS!CO$37),"",MINDS!$C$19&amp;".A.e."&amp;MINDS!CO$37)</f>
        <v/>
      </c>
      <c r="CP23" s="2" t="str">
        <f>IF(ISBLANK(MINDS!CP$37),"",MINDS!$C$19&amp;".A.e."&amp;MINDS!CP$37)</f>
        <v/>
      </c>
      <c r="CQ23" s="2" t="str">
        <f>IF(ISBLANK(MINDS!CQ$37),"",MINDS!$C$19&amp;".A.e."&amp;MINDS!CQ$37)</f>
        <v/>
      </c>
      <c r="CR23" s="2" t="str">
        <f>IF(ISBLANK(MINDS!CR$37),"",MINDS!$C$19&amp;".A.e."&amp;MINDS!CR$37)</f>
        <v/>
      </c>
      <c r="CS23" s="2" t="str">
        <f>IF(ISBLANK(MINDS!CS$37),"",MINDS!$C$19&amp;".A.e."&amp;MINDS!CS$37)</f>
        <v/>
      </c>
      <c r="CT23" s="2" t="str">
        <f>IF(ISBLANK(MINDS!CT$37),"",MINDS!$C$19&amp;".A.e."&amp;MINDS!CT$37)</f>
        <v/>
      </c>
      <c r="CU23" s="2" t="str">
        <f>IF(ISBLANK(MINDS!CU$37),"",MINDS!$C$19&amp;".A.e."&amp;MINDS!CU$37)</f>
        <v/>
      </c>
      <c r="CV23" s="2" t="str">
        <f>IF(ISBLANK(MINDS!CV$37),"",MINDS!$C$19&amp;".A.e."&amp;MINDS!CV$37)</f>
        <v/>
      </c>
      <c r="CW23" s="2" t="str">
        <f>IF(ISBLANK(MINDS!CW$37),"",MINDS!$C$19&amp;".A.e."&amp;MINDS!CW$37)</f>
        <v/>
      </c>
      <c r="CX23" s="2" t="str">
        <f>IF(ISBLANK(MINDS!CX$37),"",MINDS!$C$19&amp;".A.e."&amp;MINDS!CX$37)</f>
        <v/>
      </c>
      <c r="CY23" s="2" t="str">
        <f>IF(ISBLANK(MINDS!CY$37),"",MINDS!$C$19&amp;".A.e."&amp;MINDS!CY$37)</f>
        <v/>
      </c>
      <c r="CZ23" s="2" t="str">
        <f>IF(ISBLANK(MINDS!CZ$37),"",MINDS!$C$19&amp;".A.e."&amp;MINDS!CZ$37)</f>
        <v/>
      </c>
      <c r="DA23" s="2" t="str">
        <f>IF(ISBLANK(MINDS!DA$37),"",MINDS!$C$19&amp;".A.e."&amp;MINDS!DA$37)</f>
        <v/>
      </c>
      <c r="DB23" s="2" t="str">
        <f>IF(ISBLANK(MINDS!DB$37),"",MINDS!$C$19&amp;".A.e."&amp;MINDS!DB$37)</f>
        <v/>
      </c>
      <c r="DC23" s="2" t="str">
        <f>IF(ISBLANK(MINDS!DC$37),"",MINDS!$C$19&amp;".A.e."&amp;MINDS!DC$37)</f>
        <v/>
      </c>
      <c r="DD23" s="2" t="str">
        <f>IF(ISBLANK(MINDS!DD$37),"",MINDS!$C$19&amp;".A.e."&amp;MINDS!DD$37)</f>
        <v/>
      </c>
      <c r="DE23" s="2" t="str">
        <f>IF(ISBLANK(MINDS!DE$37),"",MINDS!$C$19&amp;".A.e."&amp;MINDS!DE$37)</f>
        <v/>
      </c>
      <c r="DF23" s="2" t="str">
        <f>IF(ISBLANK(MINDS!DF$37),"",MINDS!$C$19&amp;".A.e."&amp;MINDS!DF$37)</f>
        <v/>
      </c>
      <c r="DG23" s="2" t="str">
        <f>IF(ISBLANK(MINDS!DG$37),"",MINDS!$C$19&amp;".A.e."&amp;MINDS!DG$37)</f>
        <v/>
      </c>
      <c r="DH23" s="2" t="str">
        <f>IF(ISBLANK(MINDS!DH$37),"",MINDS!$C$19&amp;".A.e."&amp;MINDS!DH$37)</f>
        <v/>
      </c>
      <c r="DI23" s="2" t="str">
        <f>IF(ISBLANK(MINDS!DI$37),"",MINDS!$C$19&amp;".A.e."&amp;MINDS!DI$37)</f>
        <v/>
      </c>
      <c r="DJ23" s="2" t="str">
        <f>IF(ISBLANK(MINDS!DJ$37),"",MINDS!$C$19&amp;".A.e."&amp;MINDS!DJ$37)</f>
        <v/>
      </c>
      <c r="DK23" s="2" t="str">
        <f>IF(ISBLANK(MINDS!DK$37),"",MINDS!$C$19&amp;".A.e."&amp;MINDS!DK$37)</f>
        <v/>
      </c>
      <c r="DL23" s="2" t="str">
        <f>IF(ISBLANK(MINDS!DL$37),"",MINDS!$C$19&amp;".A.e."&amp;MINDS!DL$37)</f>
        <v/>
      </c>
      <c r="DM23" s="2" t="str">
        <f>IF(ISBLANK(MINDS!DM$37),"",MINDS!$C$19&amp;".A.e."&amp;MINDS!DM$37)</f>
        <v/>
      </c>
      <c r="DN23" s="2" t="str">
        <f>IF(ISBLANK(MINDS!DN$37),"",MINDS!$C$19&amp;".A.e."&amp;MINDS!DN$37)</f>
        <v/>
      </c>
      <c r="DO23" s="2" t="str">
        <f>IF(ISBLANK(MINDS!DO$37),"",MINDS!$C$19&amp;".A.e."&amp;MINDS!DO$37)</f>
        <v/>
      </c>
      <c r="DP23" s="2" t="str">
        <f>IF(ISBLANK(MINDS!DP$37),"",MINDS!$C$19&amp;".A.e."&amp;MINDS!DP$37)</f>
        <v/>
      </c>
      <c r="DQ23" s="2" t="str">
        <f>IF(ISBLANK(MINDS!DQ$37),"",MINDS!$C$19&amp;".A.e."&amp;MINDS!DQ$37)</f>
        <v/>
      </c>
      <c r="DR23" s="2" t="str">
        <f>IF(ISBLANK(MINDS!DR$37),"",MINDS!$C$19&amp;".A.e."&amp;MINDS!DR$37)</f>
        <v/>
      </c>
      <c r="DS23" s="2" t="str">
        <f>IF(ISBLANK(MINDS!DS$37),"",MINDS!$C$19&amp;".A.e."&amp;MINDS!DS$37)</f>
        <v/>
      </c>
      <c r="DT23" s="2" t="str">
        <f>IF(ISBLANK(MINDS!DT$37),"",MINDS!$C$19&amp;".A.e."&amp;MINDS!DT$37)</f>
        <v/>
      </c>
      <c r="DU23" s="2" t="str">
        <f>IF(ISBLANK(MINDS!DU$37),"",MINDS!$C$19&amp;".A.e."&amp;MINDS!DU$37)</f>
        <v/>
      </c>
      <c r="DV23" s="2" t="str">
        <f>IF(ISBLANK(MINDS!DV$37),"",MINDS!$C$19&amp;".A.e."&amp;MINDS!DV$37)</f>
        <v/>
      </c>
      <c r="DW23" s="2" t="str">
        <f>IF(ISBLANK(MINDS!DW$37),"",MINDS!$C$19&amp;".A.e."&amp;MINDS!DW$37)</f>
        <v/>
      </c>
      <c r="DX23" s="2" t="str">
        <f>IF(ISBLANK(MINDS!DX$37),"",MINDS!$C$19&amp;".A.e."&amp;MINDS!DX$37)</f>
        <v/>
      </c>
      <c r="DY23" s="2" t="str">
        <f>IF(ISBLANK(MINDS!DY$37),"",MINDS!$C$19&amp;".A.e."&amp;MINDS!DY$37)</f>
        <v/>
      </c>
      <c r="DZ23" s="2" t="str">
        <f>IF(ISBLANK(MINDS!DZ$37),"",MINDS!$C$19&amp;".A.e."&amp;MINDS!DZ$37)</f>
        <v/>
      </c>
      <c r="EA23" s="2" t="str">
        <f>IF(ISBLANK(MINDS!EA$37),"",MINDS!$C$19&amp;".A.e."&amp;MINDS!EA$37)</f>
        <v/>
      </c>
      <c r="EB23" s="2" t="str">
        <f>IF(ISBLANK(MINDS!EB$37),"",MINDS!$C$19&amp;".A.e."&amp;MINDS!EB$37)</f>
        <v/>
      </c>
      <c r="EC23" s="2" t="str">
        <f>IF(ISBLANK(MINDS!EC$37),"",MINDS!$C$19&amp;".A.e."&amp;MINDS!EC$37)</f>
        <v/>
      </c>
      <c r="ED23" s="2" t="str">
        <f>IF(ISBLANK(MINDS!ED$37),"",MINDS!$C$19&amp;".A.e."&amp;MINDS!ED$37)</f>
        <v/>
      </c>
      <c r="EE23" s="2" t="str">
        <f>IF(ISBLANK(MINDS!EE$37),"",MINDS!$C$19&amp;".A.e."&amp;MINDS!EE$37)</f>
        <v/>
      </c>
      <c r="EF23" s="2" t="str">
        <f>IF(ISBLANK(MINDS!EF$37),"",MINDS!$C$19&amp;".A.e."&amp;MINDS!EF$37)</f>
        <v/>
      </c>
      <c r="EG23" s="2" t="str">
        <f>IF(ISBLANK(MINDS!EG$37),"",MINDS!$C$19&amp;".A.e."&amp;MINDS!EG$37)</f>
        <v/>
      </c>
      <c r="EH23" s="2" t="str">
        <f>IF(ISBLANK(MINDS!EH$37),"",MINDS!$C$19&amp;".A.e."&amp;MINDS!EH$37)</f>
        <v/>
      </c>
      <c r="EI23" s="2" t="str">
        <f>IF(ISBLANK(MINDS!EI$37),"",MINDS!$C$19&amp;".A.e."&amp;MINDS!EI$37)</f>
        <v/>
      </c>
      <c r="EJ23" s="2" t="str">
        <f>IF(ISBLANK(MINDS!EJ$37),"",MINDS!$C$19&amp;".A.e."&amp;MINDS!EJ$37)</f>
        <v/>
      </c>
      <c r="EK23" s="2" t="str">
        <f>IF(ISBLANK(MINDS!EK$37),"",MINDS!$C$19&amp;".A.e."&amp;MINDS!EK$37)</f>
        <v/>
      </c>
      <c r="EL23" s="2" t="str">
        <f>IF(ISBLANK(MINDS!EL$37),"",MINDS!$C$19&amp;".A.e."&amp;MINDS!EL$37)</f>
        <v/>
      </c>
      <c r="EM23" s="2" t="str">
        <f>IF(ISBLANK(MINDS!EM$37),"",MINDS!$C$19&amp;".A.e."&amp;MINDS!EM$37)</f>
        <v/>
      </c>
      <c r="EN23" s="2" t="str">
        <f>IF(ISBLANK(MINDS!EN$37),"",MINDS!$C$19&amp;".A.e."&amp;MINDS!EN$37)</f>
        <v/>
      </c>
      <c r="EO23" s="2" t="str">
        <f>IF(ISBLANK(MINDS!EO$37),"",MINDS!$C$19&amp;".A.e."&amp;MINDS!EO$37)</f>
        <v/>
      </c>
      <c r="EP23" s="2" t="str">
        <f>IF(ISBLANK(MINDS!EP$37),"",MINDS!$C$19&amp;".A.e."&amp;MINDS!EP$37)</f>
        <v/>
      </c>
      <c r="EQ23" s="2" t="str">
        <f>IF(ISBLANK(MINDS!EQ$37),"",MINDS!$C$19&amp;".A.e."&amp;MINDS!EQ$37)</f>
        <v/>
      </c>
      <c r="ER23" s="2" t="str">
        <f>IF(ISBLANK(MINDS!ER$37),"",MINDS!$C$19&amp;".A.e."&amp;MINDS!ER$37)</f>
        <v/>
      </c>
      <c r="ES23" s="2" t="str">
        <f>IF(ISBLANK(MINDS!ES$37),"",MINDS!$C$19&amp;".A.e."&amp;MINDS!ES$37)</f>
        <v/>
      </c>
      <c r="ET23" s="2" t="str">
        <f>IF(ISBLANK(MINDS!ET$37),"",MINDS!$C$19&amp;".A.e."&amp;MINDS!ET$37)</f>
        <v/>
      </c>
      <c r="EU23" s="2" t="str">
        <f>IF(ISBLANK(MINDS!EU$37),"",MINDS!$C$19&amp;".A.e."&amp;MINDS!EU$37)</f>
        <v/>
      </c>
      <c r="EV23" s="2" t="str">
        <f>IF(ISBLANK(MINDS!EV$37),"",MINDS!$C$19&amp;".A.e."&amp;MINDS!EV$37)</f>
        <v/>
      </c>
      <c r="EW23" s="2" t="str">
        <f>IF(ISBLANK(MINDS!EW$37),"",MINDS!$C$19&amp;".A.e."&amp;MINDS!EW$37)</f>
        <v/>
      </c>
      <c r="EX23" s="2" t="str">
        <f>IF(ISBLANK(MINDS!EX$37),"",MINDS!$C$19&amp;".A.e."&amp;MINDS!EX$37)</f>
        <v/>
      </c>
      <c r="EY23" s="2" t="str">
        <f>IF(ISBLANK(MINDS!EY$37),"",MINDS!$C$19&amp;".A.e."&amp;MINDS!EY$37)</f>
        <v/>
      </c>
      <c r="EZ23" s="2" t="str">
        <f>IF(ISBLANK(MINDS!EZ$37),"",MINDS!$C$19&amp;".A.e."&amp;MINDS!EZ$37)</f>
        <v/>
      </c>
      <c r="FA23" s="2" t="str">
        <f>IF(ISBLANK(MINDS!FA$37),"",MINDS!$C$19&amp;".A.e."&amp;MINDS!FA$37)</f>
        <v/>
      </c>
      <c r="FB23" s="2" t="str">
        <f>IF(ISBLANK(MINDS!FB$37),"",MINDS!$C$19&amp;".A.e."&amp;MINDS!FB$37)</f>
        <v/>
      </c>
      <c r="FC23" s="2" t="str">
        <f>IF(ISBLANK(MINDS!FC$37),"",MINDS!$C$19&amp;".A.e."&amp;MINDS!FC$37)</f>
        <v/>
      </c>
      <c r="FD23" s="2" t="str">
        <f>IF(ISBLANK(MINDS!FD$37),"",MINDS!$C$19&amp;".A.e."&amp;MINDS!FD$37)</f>
        <v/>
      </c>
      <c r="FE23" s="2" t="str">
        <f>IF(ISBLANK(MINDS!FE$37),"",MINDS!$C$19&amp;".A.e."&amp;MINDS!FE$37)</f>
        <v/>
      </c>
      <c r="FF23" s="2" t="str">
        <f>IF(ISBLANK(MINDS!FF$37),"",MINDS!$C$19&amp;".A.e."&amp;MINDS!FF$37)</f>
        <v/>
      </c>
      <c r="FG23" s="2" t="str">
        <f>IF(ISBLANK(MINDS!FG$37),"",MINDS!$C$19&amp;".A.e."&amp;MINDS!FG$37)</f>
        <v/>
      </c>
      <c r="FH23" s="2" t="str">
        <f>IF(ISBLANK(MINDS!FH$37),"",MINDS!$C$19&amp;".A.e."&amp;MINDS!FH$37)</f>
        <v/>
      </c>
      <c r="FI23" s="2" t="str">
        <f>IF(ISBLANK(MINDS!FI$37),"",MINDS!$C$19&amp;".A.e."&amp;MINDS!FI$37)</f>
        <v/>
      </c>
      <c r="FJ23" s="2" t="str">
        <f>IF(ISBLANK(MINDS!FJ$37),"",MINDS!$C$19&amp;".A.e."&amp;MINDS!FJ$37)</f>
        <v/>
      </c>
      <c r="FK23" s="2" t="str">
        <f>IF(ISBLANK(MINDS!FK$37),"",MINDS!$C$19&amp;".A.e."&amp;MINDS!FK$37)</f>
        <v/>
      </c>
      <c r="FL23" s="2" t="str">
        <f>IF(ISBLANK(MINDS!FL$37),"",MINDS!$C$19&amp;".A.e."&amp;MINDS!FL$37)</f>
        <v/>
      </c>
      <c r="FM23" s="2" t="str">
        <f>IF(ISBLANK(MINDS!FM$37),"",MINDS!$C$19&amp;".A.e."&amp;MINDS!FM$37)</f>
        <v/>
      </c>
      <c r="FN23" s="2" t="str">
        <f>IF(ISBLANK(MINDS!FN$37),"",MINDS!$C$19&amp;".A.e."&amp;MINDS!FN$37)</f>
        <v/>
      </c>
      <c r="FO23" s="2" t="str">
        <f>IF(ISBLANK(MINDS!FO$37),"",MINDS!$C$19&amp;".A.e."&amp;MINDS!FO$37)</f>
        <v/>
      </c>
      <c r="FP23" s="2" t="str">
        <f>IF(ISBLANK(MINDS!FP$37),"",MINDS!$C$19&amp;".A.e."&amp;MINDS!FP$37)</f>
        <v/>
      </c>
      <c r="FQ23" s="2" t="str">
        <f>IF(ISBLANK(MINDS!FQ$37),"",MINDS!$C$19&amp;".A.e."&amp;MINDS!FQ$37)</f>
        <v/>
      </c>
      <c r="FR23" s="2" t="str">
        <f>IF(ISBLANK(MINDS!FR$37),"",MINDS!$C$19&amp;".A.e."&amp;MINDS!FR$37)</f>
        <v/>
      </c>
      <c r="FS23" s="2" t="str">
        <f>IF(ISBLANK(MINDS!FS$37),"",MINDS!$C$19&amp;".A.e."&amp;MINDS!FS$37)</f>
        <v/>
      </c>
      <c r="FT23" s="2" t="str">
        <f>IF(ISBLANK(MINDS!FT$37),"",MINDS!$C$19&amp;".A.e."&amp;MINDS!FT$37)</f>
        <v/>
      </c>
      <c r="FU23" s="2" t="str">
        <f>IF(ISBLANK(MINDS!FU$37),"",MINDS!$C$19&amp;".A.e."&amp;MINDS!FU$37)</f>
        <v/>
      </c>
      <c r="FV23" s="2" t="str">
        <f>IF(ISBLANK(MINDS!FV$37),"",MINDS!$C$19&amp;".A.e."&amp;MINDS!FV$37)</f>
        <v/>
      </c>
      <c r="FW23" s="2" t="str">
        <f>IF(ISBLANK(MINDS!FW$37),"",MINDS!$C$19&amp;".A.e."&amp;MINDS!FW$37)</f>
        <v/>
      </c>
      <c r="FX23" s="2" t="str">
        <f>IF(ISBLANK(MINDS!FX$37),"",MINDS!$C$19&amp;".A.e."&amp;MINDS!FX$37)</f>
        <v/>
      </c>
      <c r="FY23" s="2" t="str">
        <f>IF(ISBLANK(MINDS!FY$37),"",MINDS!$C$19&amp;".A.e."&amp;MINDS!FY$37)</f>
        <v/>
      </c>
      <c r="FZ23" s="2" t="str">
        <f>IF(ISBLANK(MINDS!FZ$37),"",MINDS!$C$19&amp;".A.e."&amp;MINDS!FZ$37)</f>
        <v/>
      </c>
      <c r="GA23" s="2" t="str">
        <f>IF(ISBLANK(MINDS!GA$37),"",MINDS!$C$19&amp;".A.e."&amp;MINDS!GA$37)</f>
        <v/>
      </c>
      <c r="GB23" s="2" t="str">
        <f>IF(ISBLANK(MINDS!GB$37),"",MINDS!$C$19&amp;".A.e."&amp;MINDS!GB$37)</f>
        <v/>
      </c>
      <c r="GC23" s="2" t="str">
        <f>IF(ISBLANK(MINDS!GC$37),"",MINDS!$C$19&amp;".A.e."&amp;MINDS!GC$37)</f>
        <v/>
      </c>
      <c r="GD23" s="2" t="str">
        <f>IF(ISBLANK(MINDS!GD$37),"",MINDS!$C$19&amp;".A.e."&amp;MINDS!GD$37)</f>
        <v/>
      </c>
      <c r="GE23" s="2" t="str">
        <f>IF(ISBLANK(MINDS!GE$37),"",MINDS!$C$19&amp;".A.e."&amp;MINDS!GE$37)</f>
        <v/>
      </c>
      <c r="GF23" s="2" t="str">
        <f>IF(ISBLANK(MINDS!GF$37),"",MINDS!$C$19&amp;".A.e."&amp;MINDS!GF$37)</f>
        <v/>
      </c>
      <c r="GG23" s="2" t="str">
        <f>IF(ISBLANK(MINDS!GG$37),"",MINDS!$C$19&amp;".A.e."&amp;MINDS!GG$37)</f>
        <v/>
      </c>
      <c r="GH23" s="2" t="str">
        <f>IF(ISBLANK(MINDS!GH$37),"",MINDS!$C$19&amp;".A.e."&amp;MINDS!GH$37)</f>
        <v/>
      </c>
      <c r="GI23" s="2" t="str">
        <f>IF(ISBLANK(MINDS!GI$37),"",MINDS!$C$19&amp;".A.e."&amp;MINDS!GI$37)</f>
        <v/>
      </c>
      <c r="GJ23" s="2" t="str">
        <f>IF(ISBLANK(MINDS!GJ$37),"",MINDS!$C$19&amp;".A.e."&amp;MINDS!GJ$37)</f>
        <v/>
      </c>
      <c r="GK23" s="2" t="str">
        <f>IF(ISBLANK(MINDS!GK$37),"",MINDS!$C$19&amp;".A.e."&amp;MINDS!GK$37)</f>
        <v/>
      </c>
      <c r="GL23" s="2" t="str">
        <f>IF(ISBLANK(MINDS!GL$37),"",MINDS!$C$19&amp;".A.e."&amp;MINDS!GL$37)</f>
        <v/>
      </c>
      <c r="GM23" s="2" t="str">
        <f>IF(ISBLANK(MINDS!GM$37),"",MINDS!$C$19&amp;".A.e."&amp;MINDS!GM$37)</f>
        <v/>
      </c>
      <c r="GN23" s="2" t="str">
        <f>IF(ISBLANK(MINDS!GN$37),"",MINDS!$C$19&amp;".A.e."&amp;MINDS!GN$37)</f>
        <v/>
      </c>
      <c r="GO23" s="2" t="str">
        <f>IF(ISBLANK(MINDS!GO$37),"",MINDS!$C$19&amp;".A.e."&amp;MINDS!GO$37)</f>
        <v/>
      </c>
      <c r="GP23" s="2" t="str">
        <f>IF(ISBLANK(MINDS!GP$37),"",MINDS!$C$19&amp;".A.e."&amp;MINDS!GP$37)</f>
        <v/>
      </c>
      <c r="GQ23" s="2" t="str">
        <f>IF(ISBLANK(MINDS!GQ$37),"",MINDS!$C$19&amp;".A.e."&amp;MINDS!GQ$37)</f>
        <v/>
      </c>
      <c r="GR23" s="2" t="str">
        <f>IF(ISBLANK(MINDS!GR$37),"",MINDS!$C$19&amp;".A.e."&amp;MINDS!GR$37)</f>
        <v/>
      </c>
      <c r="GS23" s="2" t="str">
        <f>IF(ISBLANK(MINDS!GS$37),"",MINDS!$C$19&amp;".A.e."&amp;MINDS!GS$37)</f>
        <v/>
      </c>
      <c r="GT23" s="2" t="str">
        <f>IF(ISBLANK(MINDS!GT$37),"",MINDS!$C$19&amp;".A.e."&amp;MINDS!GT$37)</f>
        <v/>
      </c>
      <c r="GU23" s="2" t="str">
        <f>IF(ISBLANK(MINDS!GU$37),"",MINDS!$C$19&amp;".A.e."&amp;MINDS!GU$37)</f>
        <v/>
      </c>
      <c r="GV23" s="2" t="str">
        <f>IF(ISBLANK(MINDS!GV$37),"",MINDS!$C$19&amp;".A.e."&amp;MINDS!GV$37)</f>
        <v/>
      </c>
      <c r="GW23" s="2" t="str">
        <f>IF(ISBLANK(MINDS!GW$37),"",MINDS!$C$19&amp;".A.e."&amp;MINDS!GW$37)</f>
        <v/>
      </c>
      <c r="GX23" s="2" t="str">
        <f>IF(ISBLANK(MINDS!GX$37),"",MINDS!$C$19&amp;".A.e."&amp;MINDS!GX$37)</f>
        <v/>
      </c>
      <c r="GY23" s="2" t="str">
        <f>IF(ISBLANK(MINDS!GY$37),"",MINDS!$C$19&amp;".A.e."&amp;MINDS!GY$37)</f>
        <v/>
      </c>
      <c r="GZ23" s="2" t="str">
        <f>IF(ISBLANK(MINDS!GZ$37),"",MINDS!$C$19&amp;".A.e."&amp;MINDS!GZ$37)</f>
        <v/>
      </c>
      <c r="HA23" s="2" t="str">
        <f>IF(ISBLANK(MINDS!HA$37),"",MINDS!$C$19&amp;".A.e."&amp;MINDS!HA$37)</f>
        <v/>
      </c>
      <c r="HB23" s="2" t="str">
        <f>IF(ISBLANK(MINDS!HB$37),"",MINDS!$C$19&amp;".A.e."&amp;MINDS!HB$37)</f>
        <v/>
      </c>
      <c r="HC23" s="2" t="str">
        <f>IF(ISBLANK(MINDS!HC$37),"",MINDS!$C$19&amp;".A.e."&amp;MINDS!HC$37)</f>
        <v/>
      </c>
      <c r="HD23" s="2" t="str">
        <f>IF(ISBLANK(MINDS!HD$37),"",MINDS!$C$19&amp;".A.e."&amp;MINDS!HD$37)</f>
        <v/>
      </c>
      <c r="HE23" s="2" t="str">
        <f>IF(ISBLANK(MINDS!HE$37),"",MINDS!$C$19&amp;".A.e."&amp;MINDS!HE$37)</f>
        <v/>
      </c>
      <c r="HF23" s="2" t="str">
        <f>IF(ISBLANK(MINDS!HF$37),"",MINDS!$C$19&amp;".A.e."&amp;MINDS!HF$37)</f>
        <v/>
      </c>
      <c r="HG23" s="2" t="str">
        <f>IF(ISBLANK(MINDS!HG$37),"",MINDS!$C$19&amp;".A.e."&amp;MINDS!HG$37)</f>
        <v/>
      </c>
      <c r="HH23" s="2" t="str">
        <f>IF(ISBLANK(MINDS!HH$37),"",MINDS!$C$19&amp;".A.e."&amp;MINDS!HH$37)</f>
        <v/>
      </c>
      <c r="HI23" s="2" t="str">
        <f>IF(ISBLANK(MINDS!HI$37),"",MINDS!$C$19&amp;".A.e."&amp;MINDS!HI$37)</f>
        <v/>
      </c>
      <c r="HJ23" s="2" t="str">
        <f>IF(ISBLANK(MINDS!HJ$37),"",MINDS!$C$19&amp;".A.e."&amp;MINDS!HJ$37)</f>
        <v/>
      </c>
      <c r="HK23" s="2" t="str">
        <f>IF(ISBLANK(MINDS!HK$37),"",MINDS!$C$19&amp;".A.e."&amp;MINDS!HK$37)</f>
        <v/>
      </c>
      <c r="HL23" s="2" t="str">
        <f>IF(ISBLANK(MINDS!HL$37),"",MINDS!$C$19&amp;".A.e."&amp;MINDS!HL$37)</f>
        <v/>
      </c>
      <c r="HM23" s="2" t="str">
        <f>IF(ISBLANK(MINDS!HM$37),"",MINDS!$C$19&amp;".A.e."&amp;MINDS!HM$37)</f>
        <v/>
      </c>
      <c r="HN23" s="2" t="str">
        <f>IF(ISBLANK(MINDS!HN$37),"",MINDS!$C$19&amp;".A.e."&amp;MINDS!HN$37)</f>
        <v/>
      </c>
      <c r="HO23" s="2" t="str">
        <f>IF(ISBLANK(MINDS!HO$37),"",MINDS!$C$19&amp;".A.e."&amp;MINDS!HO$37)</f>
        <v/>
      </c>
      <c r="HP23" s="2" t="str">
        <f>IF(ISBLANK(MINDS!HP$37),"",MINDS!$C$19&amp;".A.e."&amp;MINDS!HP$37)</f>
        <v/>
      </c>
      <c r="HQ23" s="2" t="str">
        <f>IF(ISBLANK(MINDS!HQ$37),"",MINDS!$C$19&amp;".A.e."&amp;MINDS!HQ$37)</f>
        <v/>
      </c>
      <c r="HR23" s="2" t="str">
        <f>IF(ISBLANK(MINDS!HR$37),"",MINDS!$C$19&amp;".A.e."&amp;MINDS!HR$37)</f>
        <v/>
      </c>
      <c r="HS23" s="2" t="str">
        <f>IF(ISBLANK(MINDS!HS$37),"",MINDS!$C$19&amp;".A.e."&amp;MINDS!HS$37)</f>
        <v/>
      </c>
      <c r="HT23" s="2" t="str">
        <f>IF(ISBLANK(MINDS!HT$37),"",MINDS!$C$19&amp;".A.e."&amp;MINDS!HT$37)</f>
        <v/>
      </c>
      <c r="HU23" s="2" t="str">
        <f>IF(ISBLANK(MINDS!HU$37),"",MINDS!$C$19&amp;".A.e."&amp;MINDS!HU$37)</f>
        <v/>
      </c>
      <c r="HV23" s="2" t="str">
        <f>IF(ISBLANK(MINDS!HV$37),"",MINDS!$C$19&amp;".A.e."&amp;MINDS!HV$37)</f>
        <v/>
      </c>
      <c r="HW23" s="2" t="str">
        <f>IF(ISBLANK(MINDS!HW$37),"",MINDS!$C$19&amp;".A.e."&amp;MINDS!HW$37)</f>
        <v/>
      </c>
      <c r="HX23" s="2" t="str">
        <f>IF(ISBLANK(MINDS!HX$37),"",MINDS!$C$19&amp;".A.e."&amp;MINDS!HX$37)</f>
        <v/>
      </c>
      <c r="HY23" s="2" t="str">
        <f>IF(ISBLANK(MINDS!HY$37),"",MINDS!$C$19&amp;".A.e."&amp;MINDS!HY$37)</f>
        <v/>
      </c>
      <c r="HZ23" s="2" t="str">
        <f>IF(ISBLANK(MINDS!HZ$37),"",MINDS!$C$19&amp;".A.e."&amp;MINDS!HZ$37)</f>
        <v/>
      </c>
      <c r="IA23" s="2" t="str">
        <f>IF(ISBLANK(MINDS!IA$37),"",MINDS!$C$19&amp;".A.e."&amp;MINDS!IA$37)</f>
        <v/>
      </c>
      <c r="IB23" s="2" t="str">
        <f>IF(ISBLANK(MINDS!IB$37),"",MINDS!$C$19&amp;".A.e."&amp;MINDS!IB$37)</f>
        <v/>
      </c>
      <c r="IC23" s="2" t="str">
        <f>IF(ISBLANK(MINDS!IC$37),"",MINDS!$C$19&amp;".A.e."&amp;MINDS!IC$37)</f>
        <v/>
      </c>
      <c r="ID23" s="2" t="str">
        <f>IF(ISBLANK(MINDS!ID$37),"",MINDS!$C$19&amp;".A.e."&amp;MINDS!ID$37)</f>
        <v/>
      </c>
      <c r="IE23" s="2" t="str">
        <f>IF(ISBLANK(MINDS!IE$37),"",MINDS!$C$19&amp;".A.e."&amp;MINDS!IE$37)</f>
        <v/>
      </c>
      <c r="IF23" s="2" t="str">
        <f>IF(ISBLANK(MINDS!IF$37),"",MINDS!$C$19&amp;".A.e."&amp;MINDS!IF$37)</f>
        <v/>
      </c>
      <c r="IG23" s="2" t="str">
        <f>IF(ISBLANK(MINDS!IG$37),"",MINDS!$C$19&amp;".A.e."&amp;MINDS!IG$37)</f>
        <v/>
      </c>
      <c r="IH23" s="2" t="str">
        <f>IF(ISBLANK(MINDS!IH$37),"",MINDS!$C$19&amp;".A.e."&amp;MINDS!IH$37)</f>
        <v/>
      </c>
      <c r="II23" s="2" t="str">
        <f>IF(ISBLANK(MINDS!II$37),"",MINDS!$C$19&amp;".A.e."&amp;MINDS!II$37)</f>
        <v/>
      </c>
      <c r="IJ23" s="2" t="str">
        <f>IF(ISBLANK(MINDS!IJ$37),"",MINDS!$C$19&amp;".A.e."&amp;MINDS!IJ$37)</f>
        <v/>
      </c>
      <c r="IK23" s="2" t="str">
        <f>IF(ISBLANK(MINDS!IK$37),"",MINDS!$C$19&amp;".A.e."&amp;MINDS!IK$37)</f>
        <v/>
      </c>
      <c r="IL23" s="2" t="str">
        <f>IF(ISBLANK(MINDS!IL$37),"",MINDS!$C$19&amp;".A.e."&amp;MINDS!IL$37)</f>
        <v/>
      </c>
      <c r="IM23" s="2" t="str">
        <f>IF(ISBLANK(MINDS!IM$37),"",MINDS!$C$19&amp;".A.e."&amp;MINDS!IM$37)</f>
        <v/>
      </c>
      <c r="IN23" s="2" t="str">
        <f>IF(ISBLANK(MINDS!IN$37),"",MINDS!$C$19&amp;".A.e."&amp;MINDS!IN$37)</f>
        <v/>
      </c>
      <c r="IO23" s="2" t="str">
        <f>IF(ISBLANK(MINDS!IO$37),"",MINDS!$C$19&amp;".A.e."&amp;MINDS!IO$37)</f>
        <v/>
      </c>
      <c r="IP23" s="2" t="str">
        <f>IF(ISBLANK(MINDS!IP$37),"",MINDS!$C$19&amp;".A.e."&amp;MINDS!IP$37)</f>
        <v/>
      </c>
      <c r="IQ23" s="2" t="str">
        <f>IF(ISBLANK(MINDS!IQ$37),"",MINDS!$C$19&amp;".A.e."&amp;MINDS!IQ$37)</f>
        <v/>
      </c>
      <c r="IR23" s="2" t="str">
        <f>IF(ISBLANK(MINDS!IR$37),"",MINDS!$C$19&amp;".A.e."&amp;MINDS!IR$37)</f>
        <v/>
      </c>
      <c r="IS23" s="2" t="str">
        <f>IF(ISBLANK(MINDS!IS$37),"",MINDS!$C$19&amp;".A.e."&amp;MINDS!IS$37)</f>
        <v/>
      </c>
      <c r="IT23" s="2" t="str">
        <f>IF(ISBLANK(MINDS!IT$37),"",MINDS!$C$19&amp;".A.e."&amp;MINDS!IT$37)</f>
        <v/>
      </c>
      <c r="IU23" s="2" t="str">
        <f>IF(ISBLANK(MINDS!IU$37),"",MINDS!$C$19&amp;".A.e."&amp;MINDS!IU$37)</f>
        <v/>
      </c>
      <c r="IV23" s="2" t="str">
        <f>IF(ISBLANK(MINDS!IV$37),"",MINDS!$C$19&amp;".A.e."&amp;MINDS!IV$37)</f>
        <v/>
      </c>
    </row>
    <row r="24" spans="1:256" x14ac:dyDescent="0.2">
      <c r="A24" s="3" t="s">
        <v>1</v>
      </c>
      <c r="C24" s="2" t="str">
        <f>IF(C$23="","",MINDS!$C$34)</f>
        <v/>
      </c>
      <c r="D24" s="2" t="str">
        <f>IF(D$23="","",MINDS!$C$34)</f>
        <v/>
      </c>
      <c r="E24" s="2" t="str">
        <f>IF(E$23="","",MINDS!$C$34)</f>
        <v/>
      </c>
      <c r="F24" s="2" t="str">
        <f>IF(F$23="","",MINDS!$C$34)</f>
        <v/>
      </c>
      <c r="G24" s="2" t="str">
        <f>IF(G$23="","",MINDS!$C$34)</f>
        <v/>
      </c>
      <c r="H24" s="2" t="str">
        <f>IF(H$23="","",MINDS!$C$34)</f>
        <v/>
      </c>
      <c r="I24" s="2" t="str">
        <f>IF(I$23="","",MINDS!$C$34)</f>
        <v/>
      </c>
      <c r="J24" s="2" t="str">
        <f>IF(J$23="","",MINDS!$C$34)</f>
        <v/>
      </c>
      <c r="K24" s="2" t="str">
        <f>IF(K$23="","",MINDS!$C$34)</f>
        <v/>
      </c>
      <c r="L24" s="2" t="str">
        <f>IF(L$23="","",MINDS!$C$34)</f>
        <v/>
      </c>
      <c r="M24" s="2" t="str">
        <f>IF(M$23="","",MINDS!$C$34)</f>
        <v/>
      </c>
      <c r="N24" s="2" t="str">
        <f>IF(N$23="","",MINDS!$C$34)</f>
        <v/>
      </c>
      <c r="O24" s="2" t="str">
        <f>IF(O$23="","",MINDS!$C$34)</f>
        <v/>
      </c>
      <c r="P24" s="2" t="str">
        <f>IF(P$23="","",MINDS!$C$34)</f>
        <v/>
      </c>
      <c r="Q24" s="2" t="str">
        <f>IF(Q$23="","",MINDS!$C$34)</f>
        <v/>
      </c>
      <c r="R24" s="2" t="str">
        <f>IF(R$23="","",MINDS!$C$34)</f>
        <v/>
      </c>
      <c r="S24" s="2" t="str">
        <f>IF(S$23="","",MINDS!$C$34)</f>
        <v/>
      </c>
      <c r="T24" s="2" t="str">
        <f>IF(T$23="","",MINDS!$C$34)</f>
        <v/>
      </c>
      <c r="U24" s="2" t="str">
        <f>IF(U$23="","",MINDS!$C$34)</f>
        <v/>
      </c>
      <c r="V24" s="2" t="str">
        <f>IF(V$23="","",MINDS!$C$34)</f>
        <v/>
      </c>
      <c r="W24" s="2" t="str">
        <f>IF(W$23="","",MINDS!$C$34)</f>
        <v/>
      </c>
      <c r="X24" s="2" t="str">
        <f>IF(X$23="","",MINDS!$C$34)</f>
        <v/>
      </c>
      <c r="Y24" s="2" t="str">
        <f>IF(Y$23="","",MINDS!$C$34)</f>
        <v/>
      </c>
      <c r="Z24" s="2" t="str">
        <f>IF(Z$23="","",MINDS!$C$34)</f>
        <v/>
      </c>
      <c r="AA24" s="2" t="str">
        <f>IF(AA$23="","",MINDS!$C$34)</f>
        <v/>
      </c>
      <c r="AB24" s="2" t="str">
        <f>IF(AB$23="","",MINDS!$C$34)</f>
        <v/>
      </c>
      <c r="AC24" s="2" t="str">
        <f>IF(AC$23="","",MINDS!$C$34)</f>
        <v/>
      </c>
      <c r="AD24" s="2" t="str">
        <f>IF(AD$23="","",MINDS!$C$34)</f>
        <v/>
      </c>
      <c r="AE24" s="2" t="str">
        <f>IF(AE$23="","",MINDS!$C$34)</f>
        <v/>
      </c>
      <c r="AF24" s="2" t="str">
        <f>IF(AF$23="","",MINDS!$C$34)</f>
        <v/>
      </c>
      <c r="AG24" s="2" t="str">
        <f>IF(AG$23="","",MINDS!$C$34)</f>
        <v/>
      </c>
      <c r="AH24" s="2" t="str">
        <f>IF(AH$23="","",MINDS!$C$34)</f>
        <v/>
      </c>
      <c r="AI24" s="2" t="str">
        <f>IF(AI$23="","",MINDS!$C$34)</f>
        <v/>
      </c>
      <c r="AJ24" s="2" t="str">
        <f>IF(AJ$23="","",MINDS!$C$34)</f>
        <v/>
      </c>
      <c r="AK24" s="2" t="str">
        <f>IF(AK$23="","",MINDS!$C$34)</f>
        <v/>
      </c>
      <c r="AL24" s="2" t="str">
        <f>IF(AL$23="","",MINDS!$C$34)</f>
        <v/>
      </c>
      <c r="AM24" s="2" t="str">
        <f>IF(AM$23="","",MINDS!$C$34)</f>
        <v/>
      </c>
      <c r="AN24" s="2" t="str">
        <f>IF(AN$23="","",MINDS!$C$34)</f>
        <v/>
      </c>
      <c r="AO24" s="2" t="str">
        <f>IF(AO$23="","",MINDS!$C$34)</f>
        <v/>
      </c>
      <c r="AP24" s="2" t="str">
        <f>IF(AP$23="","",MINDS!$C$34)</f>
        <v/>
      </c>
      <c r="AQ24" s="2" t="str">
        <f>IF(AQ$23="","",MINDS!$C$34)</f>
        <v/>
      </c>
      <c r="AR24" s="2" t="str">
        <f>IF(AR$23="","",MINDS!$C$34)</f>
        <v/>
      </c>
      <c r="AS24" s="2" t="str">
        <f>IF(AS$23="","",MINDS!$C$34)</f>
        <v/>
      </c>
      <c r="AT24" s="2" t="str">
        <f>IF(AT$23="","",MINDS!$C$34)</f>
        <v/>
      </c>
      <c r="AU24" s="2" t="str">
        <f>IF(AU$23="","",MINDS!$C$34)</f>
        <v/>
      </c>
      <c r="AV24" s="2" t="str">
        <f>IF(AV$23="","",MINDS!$C$34)</f>
        <v/>
      </c>
      <c r="AW24" s="2" t="str">
        <f>IF(AW$23="","",MINDS!$C$34)</f>
        <v/>
      </c>
      <c r="AX24" s="2" t="str">
        <f>IF(AX$23="","",MINDS!$C$34)</f>
        <v/>
      </c>
      <c r="AY24" s="2" t="str">
        <f>IF(AY$23="","",MINDS!$C$34)</f>
        <v/>
      </c>
      <c r="AZ24" s="2" t="str">
        <f>IF(AZ$23="","",MINDS!$C$34)</f>
        <v/>
      </c>
      <c r="BA24" s="2" t="str">
        <f>IF(BA$23="","",MINDS!$C$34)</f>
        <v/>
      </c>
      <c r="BB24" s="2" t="str">
        <f>IF(BB$23="","",MINDS!$C$34)</f>
        <v/>
      </c>
      <c r="BC24" s="2" t="str">
        <f>IF(BC$23="","",MINDS!$C$34)</f>
        <v/>
      </c>
      <c r="BD24" s="2" t="str">
        <f>IF(BD$23="","",MINDS!$C$34)</f>
        <v/>
      </c>
      <c r="BE24" s="2" t="str">
        <f>IF(BE$23="","",MINDS!$C$34)</f>
        <v/>
      </c>
      <c r="BF24" s="2" t="str">
        <f>IF(BF$23="","",MINDS!$C$34)</f>
        <v/>
      </c>
      <c r="BG24" s="2" t="str">
        <f>IF(BG$23="","",MINDS!$C$34)</f>
        <v/>
      </c>
      <c r="BH24" s="2" t="str">
        <f>IF(BH$23="","",MINDS!$C$34)</f>
        <v/>
      </c>
      <c r="BI24" s="2" t="str">
        <f>IF(BI$23="","",MINDS!$C$34)</f>
        <v/>
      </c>
      <c r="BJ24" s="2" t="str">
        <f>IF(BJ$23="","",MINDS!$C$34)</f>
        <v/>
      </c>
      <c r="BK24" s="2" t="str">
        <f>IF(BK$23="","",MINDS!$C$34)</f>
        <v/>
      </c>
      <c r="BL24" s="2" t="str">
        <f>IF(BL$23="","",MINDS!$C$34)</f>
        <v/>
      </c>
      <c r="BM24" s="2" t="str">
        <f>IF(BM$23="","",MINDS!$C$34)</f>
        <v/>
      </c>
      <c r="BN24" s="2" t="str">
        <f>IF(BN$23="","",MINDS!$C$34)</f>
        <v/>
      </c>
      <c r="BO24" s="2" t="str">
        <f>IF(BO$23="","",MINDS!$C$34)</f>
        <v/>
      </c>
      <c r="BP24" s="2" t="str">
        <f>IF(BP$23="","",MINDS!$C$34)</f>
        <v/>
      </c>
      <c r="BQ24" s="2" t="str">
        <f>IF(BQ$23="","",MINDS!$C$34)</f>
        <v/>
      </c>
      <c r="BR24" s="2" t="str">
        <f>IF(BR$23="","",MINDS!$C$34)</f>
        <v/>
      </c>
      <c r="BS24" s="2" t="str">
        <f>IF(BS$23="","",MINDS!$C$34)</f>
        <v/>
      </c>
      <c r="BT24" s="2" t="str">
        <f>IF(BT$23="","",MINDS!$C$34)</f>
        <v/>
      </c>
      <c r="BU24" s="2" t="str">
        <f>IF(BU$23="","",MINDS!$C$34)</f>
        <v/>
      </c>
      <c r="BV24" s="2" t="str">
        <f>IF(BV$23="","",MINDS!$C$34)</f>
        <v/>
      </c>
      <c r="BW24" s="2" t="str">
        <f>IF(BW$23="","",MINDS!$C$34)</f>
        <v/>
      </c>
      <c r="BX24" s="2" t="str">
        <f>IF(BX$23="","",MINDS!$C$34)</f>
        <v/>
      </c>
      <c r="BY24" s="2" t="str">
        <f>IF(BY$23="","",MINDS!$C$34)</f>
        <v/>
      </c>
      <c r="BZ24" s="2" t="str">
        <f>IF(BZ$23="","",MINDS!$C$34)</f>
        <v/>
      </c>
      <c r="CA24" s="2" t="str">
        <f>IF(CA$23="","",MINDS!$C$34)</f>
        <v/>
      </c>
      <c r="CB24" s="2" t="str">
        <f>IF(CB$23="","",MINDS!$C$34)</f>
        <v/>
      </c>
      <c r="CC24" s="2" t="str">
        <f>IF(CC$23="","",MINDS!$C$34)</f>
        <v/>
      </c>
      <c r="CD24" s="2" t="str">
        <f>IF(CD$23="","",MINDS!$C$34)</f>
        <v/>
      </c>
      <c r="CE24" s="2" t="str">
        <f>IF(CE$23="","",MINDS!$C$34)</f>
        <v/>
      </c>
      <c r="CF24" s="2" t="str">
        <f>IF(CF$23="","",MINDS!$C$34)</f>
        <v/>
      </c>
      <c r="CG24" s="2" t="str">
        <f>IF(CG$23="","",MINDS!$C$34)</f>
        <v/>
      </c>
      <c r="CH24" s="2" t="str">
        <f>IF(CH$23="","",MINDS!$C$34)</f>
        <v/>
      </c>
      <c r="CI24" s="2" t="str">
        <f>IF(CI$23="","",MINDS!$C$34)</f>
        <v/>
      </c>
      <c r="CJ24" s="2" t="str">
        <f>IF(CJ$23="","",MINDS!$C$34)</f>
        <v/>
      </c>
      <c r="CK24" s="2" t="str">
        <f>IF(CK$23="","",MINDS!$C$34)</f>
        <v/>
      </c>
      <c r="CL24" s="2" t="str">
        <f>IF(CL$23="","",MINDS!$C$34)</f>
        <v/>
      </c>
      <c r="CM24" s="2" t="str">
        <f>IF(CM$23="","",MINDS!$C$34)</f>
        <v/>
      </c>
      <c r="CN24" s="2" t="str">
        <f>IF(CN$23="","",MINDS!$C$34)</f>
        <v/>
      </c>
      <c r="CO24" s="2" t="str">
        <f>IF(CO$23="","",MINDS!$C$34)</f>
        <v/>
      </c>
      <c r="CP24" s="2" t="str">
        <f>IF(CP$23="","",MINDS!$C$34)</f>
        <v/>
      </c>
      <c r="CQ24" s="2" t="str">
        <f>IF(CQ$23="","",MINDS!$C$34)</f>
        <v/>
      </c>
      <c r="CR24" s="2" t="str">
        <f>IF(CR$23="","",MINDS!$C$34)</f>
        <v/>
      </c>
      <c r="CS24" s="2" t="str">
        <f>IF(CS$23="","",MINDS!$C$34)</f>
        <v/>
      </c>
      <c r="CT24" s="2" t="str">
        <f>IF(CT$23="","",MINDS!$C$34)</f>
        <v/>
      </c>
      <c r="CU24" s="2" t="str">
        <f>IF(CU$23="","",MINDS!$C$34)</f>
        <v/>
      </c>
      <c r="CV24" s="2" t="str">
        <f>IF(CV$23="","",MINDS!$C$34)</f>
        <v/>
      </c>
      <c r="CW24" s="2" t="str">
        <f>IF(CW$23="","",MINDS!$C$34)</f>
        <v/>
      </c>
      <c r="CX24" s="2" t="str">
        <f>IF(CX$23="","",MINDS!$C$34)</f>
        <v/>
      </c>
      <c r="CY24" s="2" t="str">
        <f>IF(CY$23="","",MINDS!$C$34)</f>
        <v/>
      </c>
      <c r="CZ24" s="2" t="str">
        <f>IF(CZ$23="","",MINDS!$C$34)</f>
        <v/>
      </c>
      <c r="DA24" s="2" t="str">
        <f>IF(DA$23="","",MINDS!$C$34)</f>
        <v/>
      </c>
      <c r="DB24" s="2" t="str">
        <f>IF(DB$23="","",MINDS!$C$34)</f>
        <v/>
      </c>
      <c r="DC24" s="2" t="str">
        <f>IF(DC$23="","",MINDS!$C$34)</f>
        <v/>
      </c>
      <c r="DD24" s="2" t="str">
        <f>IF(DD$23="","",MINDS!$C$34)</f>
        <v/>
      </c>
      <c r="DE24" s="2" t="str">
        <f>IF(DE$23="","",MINDS!$C$34)</f>
        <v/>
      </c>
      <c r="DF24" s="2" t="str">
        <f>IF(DF$23="","",MINDS!$C$34)</f>
        <v/>
      </c>
      <c r="DG24" s="2" t="str">
        <f>IF(DG$23="","",MINDS!$C$34)</f>
        <v/>
      </c>
      <c r="DH24" s="2" t="str">
        <f>IF(DH$23="","",MINDS!$C$34)</f>
        <v/>
      </c>
      <c r="DI24" s="2" t="str">
        <f>IF(DI$23="","",MINDS!$C$34)</f>
        <v/>
      </c>
      <c r="DJ24" s="2" t="str">
        <f>IF(DJ$23="","",MINDS!$C$34)</f>
        <v/>
      </c>
      <c r="DK24" s="2" t="str">
        <f>IF(DK$23="","",MINDS!$C$34)</f>
        <v/>
      </c>
      <c r="DL24" s="2" t="str">
        <f>IF(DL$23="","",MINDS!$C$34)</f>
        <v/>
      </c>
      <c r="DM24" s="2" t="str">
        <f>IF(DM$23="","",MINDS!$C$34)</f>
        <v/>
      </c>
      <c r="DN24" s="2" t="str">
        <f>IF(DN$23="","",MINDS!$C$34)</f>
        <v/>
      </c>
      <c r="DO24" s="2" t="str">
        <f>IF(DO$23="","",MINDS!$C$34)</f>
        <v/>
      </c>
      <c r="DP24" s="2" t="str">
        <f>IF(DP$23="","",MINDS!$C$34)</f>
        <v/>
      </c>
      <c r="DQ24" s="2" t="str">
        <f>IF(DQ$23="","",MINDS!$C$34)</f>
        <v/>
      </c>
      <c r="DR24" s="2" t="str">
        <f>IF(DR$23="","",MINDS!$C$34)</f>
        <v/>
      </c>
      <c r="DS24" s="2" t="str">
        <f>IF(DS$23="","",MINDS!$C$34)</f>
        <v/>
      </c>
      <c r="DT24" s="2" t="str">
        <f>IF(DT$23="","",MINDS!$C$34)</f>
        <v/>
      </c>
      <c r="DU24" s="2" t="str">
        <f>IF(DU$23="","",MINDS!$C$34)</f>
        <v/>
      </c>
      <c r="DV24" s="2" t="str">
        <f>IF(DV$23="","",MINDS!$C$34)</f>
        <v/>
      </c>
      <c r="DW24" s="2" t="str">
        <f>IF(DW$23="","",MINDS!$C$34)</f>
        <v/>
      </c>
      <c r="DX24" s="2" t="str">
        <f>IF(DX$23="","",MINDS!$C$34)</f>
        <v/>
      </c>
      <c r="DY24" s="2" t="str">
        <f>IF(DY$23="","",MINDS!$C$34)</f>
        <v/>
      </c>
      <c r="DZ24" s="2" t="str">
        <f>IF(DZ$23="","",MINDS!$C$34)</f>
        <v/>
      </c>
      <c r="EA24" s="2" t="str">
        <f>IF(EA$23="","",MINDS!$C$34)</f>
        <v/>
      </c>
      <c r="EB24" s="2" t="str">
        <f>IF(EB$23="","",MINDS!$C$34)</f>
        <v/>
      </c>
      <c r="EC24" s="2" t="str">
        <f>IF(EC$23="","",MINDS!$C$34)</f>
        <v/>
      </c>
      <c r="ED24" s="2" t="str">
        <f>IF(ED$23="","",MINDS!$C$34)</f>
        <v/>
      </c>
      <c r="EE24" s="2" t="str">
        <f>IF(EE$23="","",MINDS!$C$34)</f>
        <v/>
      </c>
      <c r="EF24" s="2" t="str">
        <f>IF(EF$23="","",MINDS!$C$34)</f>
        <v/>
      </c>
      <c r="EG24" s="2" t="str">
        <f>IF(EG$23="","",MINDS!$C$34)</f>
        <v/>
      </c>
      <c r="EH24" s="2" t="str">
        <f>IF(EH$23="","",MINDS!$C$34)</f>
        <v/>
      </c>
      <c r="EI24" s="2" t="str">
        <f>IF(EI$23="","",MINDS!$C$34)</f>
        <v/>
      </c>
      <c r="EJ24" s="2" t="str">
        <f>IF(EJ$23="","",MINDS!$C$34)</f>
        <v/>
      </c>
      <c r="EK24" s="2" t="str">
        <f>IF(EK$23="","",MINDS!$C$34)</f>
        <v/>
      </c>
      <c r="EL24" s="2" t="str">
        <f>IF(EL$23="","",MINDS!$C$34)</f>
        <v/>
      </c>
      <c r="EM24" s="2" t="str">
        <f>IF(EM$23="","",MINDS!$C$34)</f>
        <v/>
      </c>
      <c r="EN24" s="2" t="str">
        <f>IF(EN$23="","",MINDS!$C$34)</f>
        <v/>
      </c>
      <c r="EO24" s="2" t="str">
        <f>IF(EO$23="","",MINDS!$C$34)</f>
        <v/>
      </c>
      <c r="EP24" s="2" t="str">
        <f>IF(EP$23="","",MINDS!$C$34)</f>
        <v/>
      </c>
      <c r="EQ24" s="2" t="str">
        <f>IF(EQ$23="","",MINDS!$C$34)</f>
        <v/>
      </c>
      <c r="ER24" s="2" t="str">
        <f>IF(ER$23="","",MINDS!$C$34)</f>
        <v/>
      </c>
      <c r="ES24" s="2" t="str">
        <f>IF(ES$23="","",MINDS!$C$34)</f>
        <v/>
      </c>
      <c r="ET24" s="2" t="str">
        <f>IF(ET$23="","",MINDS!$C$34)</f>
        <v/>
      </c>
      <c r="EU24" s="2" t="str">
        <f>IF(EU$23="","",MINDS!$C$34)</f>
        <v/>
      </c>
      <c r="EV24" s="2" t="str">
        <f>IF(EV$23="","",MINDS!$C$34)</f>
        <v/>
      </c>
      <c r="EW24" s="2" t="str">
        <f>IF(EW$23="","",MINDS!$C$34)</f>
        <v/>
      </c>
      <c r="EX24" s="2" t="str">
        <f>IF(EX$23="","",MINDS!$C$34)</f>
        <v/>
      </c>
      <c r="EY24" s="2" t="str">
        <f>IF(EY$23="","",MINDS!$C$34)</f>
        <v/>
      </c>
      <c r="EZ24" s="2" t="str">
        <f>IF(EZ$23="","",MINDS!$C$34)</f>
        <v/>
      </c>
      <c r="FA24" s="2" t="str">
        <f>IF(FA$23="","",MINDS!$C$34)</f>
        <v/>
      </c>
      <c r="FB24" s="2" t="str">
        <f>IF(FB$23="","",MINDS!$C$34)</f>
        <v/>
      </c>
      <c r="FC24" s="2" t="str">
        <f>IF(FC$23="","",MINDS!$C$34)</f>
        <v/>
      </c>
      <c r="FD24" s="2" t="str">
        <f>IF(FD$23="","",MINDS!$C$34)</f>
        <v/>
      </c>
      <c r="FE24" s="2" t="str">
        <f>IF(FE$23="","",MINDS!$C$34)</f>
        <v/>
      </c>
      <c r="FF24" s="2" t="str">
        <f>IF(FF$23="","",MINDS!$C$34)</f>
        <v/>
      </c>
      <c r="FG24" s="2" t="str">
        <f>IF(FG$23="","",MINDS!$C$34)</f>
        <v/>
      </c>
      <c r="FH24" s="2" t="str">
        <f>IF(FH$23="","",MINDS!$C$34)</f>
        <v/>
      </c>
      <c r="FI24" s="2" t="str">
        <f>IF(FI$23="","",MINDS!$C$34)</f>
        <v/>
      </c>
      <c r="FJ24" s="2" t="str">
        <f>IF(FJ$23="","",MINDS!$C$34)</f>
        <v/>
      </c>
      <c r="FK24" s="2" t="str">
        <f>IF(FK$23="","",MINDS!$C$34)</f>
        <v/>
      </c>
      <c r="FL24" s="2" t="str">
        <f>IF(FL$23="","",MINDS!$C$34)</f>
        <v/>
      </c>
      <c r="FM24" s="2" t="str">
        <f>IF(FM$23="","",MINDS!$C$34)</f>
        <v/>
      </c>
      <c r="FN24" s="2" t="str">
        <f>IF(FN$23="","",MINDS!$C$34)</f>
        <v/>
      </c>
      <c r="FO24" s="2" t="str">
        <f>IF(FO$23="","",MINDS!$C$34)</f>
        <v/>
      </c>
      <c r="FP24" s="2" t="str">
        <f>IF(FP$23="","",MINDS!$C$34)</f>
        <v/>
      </c>
      <c r="FQ24" s="2" t="str">
        <f>IF(FQ$23="","",MINDS!$C$34)</f>
        <v/>
      </c>
      <c r="FR24" s="2" t="str">
        <f>IF(FR$23="","",MINDS!$C$34)</f>
        <v/>
      </c>
      <c r="FS24" s="2" t="str">
        <f>IF(FS$23="","",MINDS!$C$34)</f>
        <v/>
      </c>
      <c r="FT24" s="2" t="str">
        <f>IF(FT$23="","",MINDS!$C$34)</f>
        <v/>
      </c>
      <c r="FU24" s="2" t="str">
        <f>IF(FU$23="","",MINDS!$C$34)</f>
        <v/>
      </c>
      <c r="FV24" s="2" t="str">
        <f>IF(FV$23="","",MINDS!$C$34)</f>
        <v/>
      </c>
      <c r="FW24" s="2" t="str">
        <f>IF(FW$23="","",MINDS!$C$34)</f>
        <v/>
      </c>
      <c r="FX24" s="2" t="str">
        <f>IF(FX$23="","",MINDS!$C$34)</f>
        <v/>
      </c>
      <c r="FY24" s="2" t="str">
        <f>IF(FY$23="","",MINDS!$C$34)</f>
        <v/>
      </c>
      <c r="FZ24" s="2" t="str">
        <f>IF(FZ$23="","",MINDS!$C$34)</f>
        <v/>
      </c>
      <c r="GA24" s="2" t="str">
        <f>IF(GA$23="","",MINDS!$C$34)</f>
        <v/>
      </c>
      <c r="GB24" s="2" t="str">
        <f>IF(GB$23="","",MINDS!$C$34)</f>
        <v/>
      </c>
      <c r="GC24" s="2" t="str">
        <f>IF(GC$23="","",MINDS!$C$34)</f>
        <v/>
      </c>
      <c r="GD24" s="2" t="str">
        <f>IF(GD$23="","",MINDS!$C$34)</f>
        <v/>
      </c>
      <c r="GE24" s="2" t="str">
        <f>IF(GE$23="","",MINDS!$C$34)</f>
        <v/>
      </c>
      <c r="GF24" s="2" t="str">
        <f>IF(GF$23="","",MINDS!$C$34)</f>
        <v/>
      </c>
      <c r="GG24" s="2" t="str">
        <f>IF(GG$23="","",MINDS!$C$34)</f>
        <v/>
      </c>
      <c r="GH24" s="2" t="str">
        <f>IF(GH$23="","",MINDS!$C$34)</f>
        <v/>
      </c>
      <c r="GI24" s="2" t="str">
        <f>IF(GI$23="","",MINDS!$C$34)</f>
        <v/>
      </c>
      <c r="GJ24" s="2" t="str">
        <f>IF(GJ$23="","",MINDS!$C$34)</f>
        <v/>
      </c>
      <c r="GK24" s="2" t="str">
        <f>IF(GK$23="","",MINDS!$C$34)</f>
        <v/>
      </c>
      <c r="GL24" s="2" t="str">
        <f>IF(GL$23="","",MINDS!$C$34)</f>
        <v/>
      </c>
      <c r="GM24" s="2" t="str">
        <f>IF(GM$23="","",MINDS!$C$34)</f>
        <v/>
      </c>
      <c r="GN24" s="2" t="str">
        <f>IF(GN$23="","",MINDS!$C$34)</f>
        <v/>
      </c>
      <c r="GO24" s="2" t="str">
        <f>IF(GO$23="","",MINDS!$C$34)</f>
        <v/>
      </c>
      <c r="GP24" s="2" t="str">
        <f>IF(GP$23="","",MINDS!$C$34)</f>
        <v/>
      </c>
      <c r="GQ24" s="2" t="str">
        <f>IF(GQ$23="","",MINDS!$C$34)</f>
        <v/>
      </c>
      <c r="GR24" s="2" t="str">
        <f>IF(GR$23="","",MINDS!$C$34)</f>
        <v/>
      </c>
      <c r="GS24" s="2" t="str">
        <f>IF(GS$23="","",MINDS!$C$34)</f>
        <v/>
      </c>
      <c r="GT24" s="2" t="str">
        <f>IF(GT$23="","",MINDS!$C$34)</f>
        <v/>
      </c>
      <c r="GU24" s="2" t="str">
        <f>IF(GU$23="","",MINDS!$C$34)</f>
        <v/>
      </c>
      <c r="GV24" s="2" t="str">
        <f>IF(GV$23="","",MINDS!$C$34)</f>
        <v/>
      </c>
      <c r="GW24" s="2" t="str">
        <f>IF(GW$23="","",MINDS!$C$34)</f>
        <v/>
      </c>
      <c r="GX24" s="2" t="str">
        <f>IF(GX$23="","",MINDS!$C$34)</f>
        <v/>
      </c>
      <c r="GY24" s="2" t="str">
        <f>IF(GY$23="","",MINDS!$C$34)</f>
        <v/>
      </c>
      <c r="GZ24" s="2" t="str">
        <f>IF(GZ$23="","",MINDS!$C$34)</f>
        <v/>
      </c>
      <c r="HA24" s="2" t="str">
        <f>IF(HA$23="","",MINDS!$C$34)</f>
        <v/>
      </c>
      <c r="HB24" s="2" t="str">
        <f>IF(HB$23="","",MINDS!$C$34)</f>
        <v/>
      </c>
      <c r="HC24" s="2" t="str">
        <f>IF(HC$23="","",MINDS!$C$34)</f>
        <v/>
      </c>
      <c r="HD24" s="2" t="str">
        <f>IF(HD$23="","",MINDS!$C$34)</f>
        <v/>
      </c>
      <c r="HE24" s="2" t="str">
        <f>IF(HE$23="","",MINDS!$C$34)</f>
        <v/>
      </c>
      <c r="HF24" s="2" t="str">
        <f>IF(HF$23="","",MINDS!$C$34)</f>
        <v/>
      </c>
      <c r="HG24" s="2" t="str">
        <f>IF(HG$23="","",MINDS!$C$34)</f>
        <v/>
      </c>
      <c r="HH24" s="2" t="str">
        <f>IF(HH$23="","",MINDS!$C$34)</f>
        <v/>
      </c>
      <c r="HI24" s="2" t="str">
        <f>IF(HI$23="","",MINDS!$C$34)</f>
        <v/>
      </c>
      <c r="HJ24" s="2" t="str">
        <f>IF(HJ$23="","",MINDS!$C$34)</f>
        <v/>
      </c>
      <c r="HK24" s="2" t="str">
        <f>IF(HK$23="","",MINDS!$C$34)</f>
        <v/>
      </c>
      <c r="HL24" s="2" t="str">
        <f>IF(HL$23="","",MINDS!$C$34)</f>
        <v/>
      </c>
      <c r="HM24" s="2" t="str">
        <f>IF(HM$23="","",MINDS!$C$34)</f>
        <v/>
      </c>
      <c r="HN24" s="2" t="str">
        <f>IF(HN$23="","",MINDS!$C$34)</f>
        <v/>
      </c>
      <c r="HO24" s="2" t="str">
        <f>IF(HO$23="","",MINDS!$C$34)</f>
        <v/>
      </c>
      <c r="HP24" s="2" t="str">
        <f>IF(HP$23="","",MINDS!$C$34)</f>
        <v/>
      </c>
      <c r="HQ24" s="2" t="str">
        <f>IF(HQ$23="","",MINDS!$C$34)</f>
        <v/>
      </c>
      <c r="HR24" s="2" t="str">
        <f>IF(HR$23="","",MINDS!$C$34)</f>
        <v/>
      </c>
      <c r="HS24" s="2" t="str">
        <f>IF(HS$23="","",MINDS!$C$34)</f>
        <v/>
      </c>
      <c r="HT24" s="2" t="str">
        <f>IF(HT$23="","",MINDS!$C$34)</f>
        <v/>
      </c>
      <c r="HU24" s="2" t="str">
        <f>IF(HU$23="","",MINDS!$C$34)</f>
        <v/>
      </c>
      <c r="HV24" s="2" t="str">
        <f>IF(HV$23="","",MINDS!$C$34)</f>
        <v/>
      </c>
      <c r="HW24" s="2" t="str">
        <f>IF(HW$23="","",MINDS!$C$34)</f>
        <v/>
      </c>
      <c r="HX24" s="2" t="str">
        <f>IF(HX$23="","",MINDS!$C$34)</f>
        <v/>
      </c>
      <c r="HY24" s="2" t="str">
        <f>IF(HY$23="","",MINDS!$C$34)</f>
        <v/>
      </c>
      <c r="HZ24" s="2" t="str">
        <f>IF(HZ$23="","",MINDS!$C$34)</f>
        <v/>
      </c>
      <c r="IA24" s="2" t="str">
        <f>IF(IA$23="","",MINDS!$C$34)</f>
        <v/>
      </c>
      <c r="IB24" s="2" t="str">
        <f>IF(IB$23="","",MINDS!$C$34)</f>
        <v/>
      </c>
      <c r="IC24" s="2" t="str">
        <f>IF(IC$23="","",MINDS!$C$34)</f>
        <v/>
      </c>
      <c r="ID24" s="2" t="str">
        <f>IF(ID$23="","",MINDS!$C$34)</f>
        <v/>
      </c>
      <c r="IE24" s="2" t="str">
        <f>IF(IE$23="","",MINDS!$C$34)</f>
        <v/>
      </c>
      <c r="IF24" s="2" t="str">
        <f>IF(IF$23="","",MINDS!$C$34)</f>
        <v/>
      </c>
      <c r="IG24" s="2" t="str">
        <f>IF(IG$23="","",MINDS!$C$34)</f>
        <v/>
      </c>
      <c r="IH24" s="2" t="str">
        <f>IF(IH$23="","",MINDS!$C$34)</f>
        <v/>
      </c>
      <c r="II24" s="2" t="str">
        <f>IF(II$23="","",MINDS!$C$34)</f>
        <v/>
      </c>
      <c r="IJ24" s="2" t="str">
        <f>IF(IJ$23="","",MINDS!$C$34)</f>
        <v/>
      </c>
      <c r="IK24" s="2" t="str">
        <f>IF(IK$23="","",MINDS!$C$34)</f>
        <v/>
      </c>
      <c r="IL24" s="2" t="str">
        <f>IF(IL$23="","",MINDS!$C$34)</f>
        <v/>
      </c>
      <c r="IM24" s="2" t="str">
        <f>IF(IM$23="","",MINDS!$C$34)</f>
        <v/>
      </c>
      <c r="IN24" s="2" t="str">
        <f>IF(IN$23="","",MINDS!$C$34)</f>
        <v/>
      </c>
      <c r="IO24" s="2" t="str">
        <f>IF(IO$23="","",MINDS!$C$34)</f>
        <v/>
      </c>
      <c r="IP24" s="2" t="str">
        <f>IF(IP$23="","",MINDS!$C$34)</f>
        <v/>
      </c>
      <c r="IQ24" s="2" t="str">
        <f>IF(IQ$23="","",MINDS!$C$34)</f>
        <v/>
      </c>
      <c r="IR24" s="2" t="str">
        <f>IF(IR$23="","",MINDS!$C$34)</f>
        <v/>
      </c>
      <c r="IS24" s="2" t="str">
        <f>IF(IS$23="","",MINDS!$C$34)</f>
        <v/>
      </c>
      <c r="IT24" s="2" t="str">
        <f>IF(IT$23="","",MINDS!$C$34)</f>
        <v/>
      </c>
      <c r="IU24" s="2" t="str">
        <f>IF(IU$23="","",MINDS!$C$34)</f>
        <v/>
      </c>
      <c r="IV24" s="2" t="str">
        <f>IF(IV$23="","",MINDS!$C$34)</f>
        <v/>
      </c>
    </row>
    <row r="25" spans="1:256" x14ac:dyDescent="0.2">
      <c r="A25" s="3" t="s">
        <v>2</v>
      </c>
      <c r="C25" s="2" t="str">
        <f>IF(C$23="","",IF(MINDS!$C$35="","",MINDS!$C$35))</f>
        <v/>
      </c>
      <c r="D25" s="2" t="str">
        <f>IF(D$23="","",IF(MINDS!$C$35="","",MINDS!$C$35))</f>
        <v/>
      </c>
      <c r="E25" s="2" t="str">
        <f>IF(E$23="","",IF(MINDS!$C$35="","",MINDS!$C$35))</f>
        <v/>
      </c>
      <c r="F25" s="2" t="str">
        <f>IF(F$23="","",IF(MINDS!$C$35="","",MINDS!$C$35))</f>
        <v/>
      </c>
      <c r="G25" s="2" t="str">
        <f>IF(G$23="","",IF(MINDS!$C$35="","",MINDS!$C$35))</f>
        <v/>
      </c>
      <c r="H25" s="2" t="str">
        <f>IF(H$23="","",IF(MINDS!$C$35="","",MINDS!$C$35))</f>
        <v/>
      </c>
      <c r="I25" s="2" t="str">
        <f>IF(I$23="","",IF(MINDS!$C$35="","",MINDS!$C$35))</f>
        <v/>
      </c>
      <c r="J25" s="2" t="str">
        <f>IF(J$23="","",IF(MINDS!$C$35="","",MINDS!$C$35))</f>
        <v/>
      </c>
      <c r="K25" s="2" t="str">
        <f>IF(K$23="","",IF(MINDS!$C$35="","",MINDS!$C$35))</f>
        <v/>
      </c>
      <c r="L25" s="2" t="str">
        <f>IF(L$23="","",IF(MINDS!$C$35="","",MINDS!$C$35))</f>
        <v/>
      </c>
      <c r="M25" s="2" t="str">
        <f>IF(M$23="","",IF(MINDS!$C$35="","",MINDS!$C$35))</f>
        <v/>
      </c>
      <c r="N25" s="2" t="str">
        <f>IF(N$23="","",IF(MINDS!$C$35="","",MINDS!$C$35))</f>
        <v/>
      </c>
      <c r="O25" s="2" t="str">
        <f>IF(O$23="","",IF(MINDS!$C$35="","",MINDS!$C$35))</f>
        <v/>
      </c>
      <c r="P25" s="2" t="str">
        <f>IF(P$23="","",IF(MINDS!$C$35="","",MINDS!$C$35))</f>
        <v/>
      </c>
      <c r="Q25" s="2" t="str">
        <f>IF(Q$23="","",IF(MINDS!$C$35="","",MINDS!$C$35))</f>
        <v/>
      </c>
      <c r="R25" s="2" t="str">
        <f>IF(R$23="","",IF(MINDS!$C$35="","",MINDS!$C$35))</f>
        <v/>
      </c>
      <c r="S25" s="2" t="str">
        <f>IF(S$23="","",IF(MINDS!$C$35="","",MINDS!$C$35))</f>
        <v/>
      </c>
      <c r="T25" s="2" t="str">
        <f>IF(T$23="","",IF(MINDS!$C$35="","",MINDS!$C$35))</f>
        <v/>
      </c>
      <c r="U25" s="2" t="str">
        <f>IF(U$23="","",IF(MINDS!$C$35="","",MINDS!$C$35))</f>
        <v/>
      </c>
      <c r="V25" s="2" t="str">
        <f>IF(V$23="","",IF(MINDS!$C$35="","",MINDS!$C$35))</f>
        <v/>
      </c>
      <c r="W25" s="2" t="str">
        <f>IF(W$23="","",IF(MINDS!$C$35="","",MINDS!$C$35))</f>
        <v/>
      </c>
      <c r="X25" s="2" t="str">
        <f>IF(X$23="","",IF(MINDS!$C$35="","",MINDS!$C$35))</f>
        <v/>
      </c>
      <c r="Y25" s="2" t="str">
        <f>IF(Y$23="","",IF(MINDS!$C$35="","",MINDS!$C$35))</f>
        <v/>
      </c>
      <c r="Z25" s="2" t="str">
        <f>IF(Z$23="","",IF(MINDS!$C$35="","",MINDS!$C$35))</f>
        <v/>
      </c>
      <c r="AA25" s="2" t="str">
        <f>IF(AA$23="","",IF(MINDS!$C$35="","",MINDS!$C$35))</f>
        <v/>
      </c>
      <c r="AB25" s="2" t="str">
        <f>IF(AB$23="","",IF(MINDS!$C$35="","",MINDS!$C$35))</f>
        <v/>
      </c>
      <c r="AC25" s="2" t="str">
        <f>IF(AC$23="","",IF(MINDS!$C$35="","",MINDS!$C$35))</f>
        <v/>
      </c>
      <c r="AD25" s="2" t="str">
        <f>IF(AD$23="","",IF(MINDS!$C$35="","",MINDS!$C$35))</f>
        <v/>
      </c>
      <c r="AE25" s="2" t="str">
        <f>IF(AE$23="","",IF(MINDS!$C$35="","",MINDS!$C$35))</f>
        <v/>
      </c>
      <c r="AF25" s="2" t="str">
        <f>IF(AF$23="","",IF(MINDS!$C$35="","",MINDS!$C$35))</f>
        <v/>
      </c>
      <c r="AG25" s="2" t="str">
        <f>IF(AG$23="","",IF(MINDS!$C$35="","",MINDS!$C$35))</f>
        <v/>
      </c>
      <c r="AH25" s="2" t="str">
        <f>IF(AH$23="","",IF(MINDS!$C$35="","",MINDS!$C$35))</f>
        <v/>
      </c>
      <c r="AI25" s="2" t="str">
        <f>IF(AI$23="","",IF(MINDS!$C$35="","",MINDS!$C$35))</f>
        <v/>
      </c>
      <c r="AJ25" s="2" t="str">
        <f>IF(AJ$23="","",IF(MINDS!$C$35="","",MINDS!$C$35))</f>
        <v/>
      </c>
      <c r="AK25" s="2" t="str">
        <f>IF(AK$23="","",IF(MINDS!$C$35="","",MINDS!$C$35))</f>
        <v/>
      </c>
      <c r="AL25" s="2" t="str">
        <f>IF(AL$23="","",IF(MINDS!$C$35="","",MINDS!$C$35))</f>
        <v/>
      </c>
      <c r="AM25" s="2" t="str">
        <f>IF(AM$23="","",IF(MINDS!$C$35="","",MINDS!$C$35))</f>
        <v/>
      </c>
      <c r="AN25" s="2" t="str">
        <f>IF(AN$23="","",IF(MINDS!$C$35="","",MINDS!$C$35))</f>
        <v/>
      </c>
      <c r="AO25" s="2" t="str">
        <f>IF(AO$23="","",IF(MINDS!$C$35="","",MINDS!$C$35))</f>
        <v/>
      </c>
      <c r="AP25" s="2" t="str">
        <f>IF(AP$23="","",IF(MINDS!$C$35="","",MINDS!$C$35))</f>
        <v/>
      </c>
      <c r="AQ25" s="2" t="str">
        <f>IF(AQ$23="","",IF(MINDS!$C$35="","",MINDS!$C$35))</f>
        <v/>
      </c>
      <c r="AR25" s="2" t="str">
        <f>IF(AR$23="","",IF(MINDS!$C$35="","",MINDS!$C$35))</f>
        <v/>
      </c>
      <c r="AS25" s="2" t="str">
        <f>IF(AS$23="","",IF(MINDS!$C$35="","",MINDS!$C$35))</f>
        <v/>
      </c>
      <c r="AT25" s="2" t="str">
        <f>IF(AT$23="","",IF(MINDS!$C$35="","",MINDS!$C$35))</f>
        <v/>
      </c>
      <c r="AU25" s="2" t="str">
        <f>IF(AU$23="","",IF(MINDS!$C$35="","",MINDS!$C$35))</f>
        <v/>
      </c>
      <c r="AV25" s="2" t="str">
        <f>IF(AV$23="","",IF(MINDS!$C$35="","",MINDS!$C$35))</f>
        <v/>
      </c>
      <c r="AW25" s="2" t="str">
        <f>IF(AW$23="","",IF(MINDS!$C$35="","",MINDS!$C$35))</f>
        <v/>
      </c>
      <c r="AX25" s="2" t="str">
        <f>IF(AX$23="","",IF(MINDS!$C$35="","",MINDS!$C$35))</f>
        <v/>
      </c>
      <c r="AY25" s="2" t="str">
        <f>IF(AY$23="","",IF(MINDS!$C$35="","",MINDS!$C$35))</f>
        <v/>
      </c>
      <c r="AZ25" s="2" t="str">
        <f>IF(AZ$23="","",IF(MINDS!$C$35="","",MINDS!$C$35))</f>
        <v/>
      </c>
      <c r="BA25" s="2" t="str">
        <f>IF(BA$23="","",IF(MINDS!$C$35="","",MINDS!$C$35))</f>
        <v/>
      </c>
      <c r="BB25" s="2" t="str">
        <f>IF(BB$23="","",IF(MINDS!$C$35="","",MINDS!$C$35))</f>
        <v/>
      </c>
      <c r="BC25" s="2" t="str">
        <f>IF(BC$23="","",IF(MINDS!$C$35="","",MINDS!$C$35))</f>
        <v/>
      </c>
      <c r="BD25" s="2" t="str">
        <f>IF(BD$23="","",IF(MINDS!$C$35="","",MINDS!$C$35))</f>
        <v/>
      </c>
      <c r="BE25" s="2" t="str">
        <f>IF(BE$23="","",IF(MINDS!$C$35="","",MINDS!$C$35))</f>
        <v/>
      </c>
      <c r="BF25" s="2" t="str">
        <f>IF(BF$23="","",IF(MINDS!$C$35="","",MINDS!$C$35))</f>
        <v/>
      </c>
      <c r="BG25" s="2" t="str">
        <f>IF(BG$23="","",IF(MINDS!$C$35="","",MINDS!$C$35))</f>
        <v/>
      </c>
      <c r="BH25" s="2" t="str">
        <f>IF(BH$23="","",IF(MINDS!$C$35="","",MINDS!$C$35))</f>
        <v/>
      </c>
      <c r="BI25" s="2" t="str">
        <f>IF(BI$23="","",IF(MINDS!$C$35="","",MINDS!$C$35))</f>
        <v/>
      </c>
      <c r="BJ25" s="2" t="str">
        <f>IF(BJ$23="","",IF(MINDS!$C$35="","",MINDS!$C$35))</f>
        <v/>
      </c>
      <c r="BK25" s="2" t="str">
        <f>IF(BK$23="","",IF(MINDS!$C$35="","",MINDS!$C$35))</f>
        <v/>
      </c>
      <c r="BL25" s="2" t="str">
        <f>IF(BL$23="","",IF(MINDS!$C$35="","",MINDS!$C$35))</f>
        <v/>
      </c>
      <c r="BM25" s="2" t="str">
        <f>IF(BM$23="","",IF(MINDS!$C$35="","",MINDS!$C$35))</f>
        <v/>
      </c>
      <c r="BN25" s="2" t="str">
        <f>IF(BN$23="","",IF(MINDS!$C$35="","",MINDS!$C$35))</f>
        <v/>
      </c>
      <c r="BO25" s="2" t="str">
        <f>IF(BO$23="","",IF(MINDS!$C$35="","",MINDS!$C$35))</f>
        <v/>
      </c>
      <c r="BP25" s="2" t="str">
        <f>IF(BP$23="","",IF(MINDS!$C$35="","",MINDS!$C$35))</f>
        <v/>
      </c>
      <c r="BQ25" s="2" t="str">
        <f>IF(BQ$23="","",IF(MINDS!$C$35="","",MINDS!$C$35))</f>
        <v/>
      </c>
      <c r="BR25" s="2" t="str">
        <f>IF(BR$23="","",IF(MINDS!$C$35="","",MINDS!$C$35))</f>
        <v/>
      </c>
      <c r="BS25" s="2" t="str">
        <f>IF(BS$23="","",IF(MINDS!$C$35="","",MINDS!$C$35))</f>
        <v/>
      </c>
      <c r="BT25" s="2" t="str">
        <f>IF(BT$23="","",IF(MINDS!$C$35="","",MINDS!$C$35))</f>
        <v/>
      </c>
      <c r="BU25" s="2" t="str">
        <f>IF(BU$23="","",IF(MINDS!$C$35="","",MINDS!$C$35))</f>
        <v/>
      </c>
      <c r="BV25" s="2" t="str">
        <f>IF(BV$23="","",IF(MINDS!$C$35="","",MINDS!$C$35))</f>
        <v/>
      </c>
      <c r="BW25" s="2" t="str">
        <f>IF(BW$23="","",IF(MINDS!$C$35="","",MINDS!$C$35))</f>
        <v/>
      </c>
      <c r="BX25" s="2" t="str">
        <f>IF(BX$23="","",IF(MINDS!$C$35="","",MINDS!$C$35))</f>
        <v/>
      </c>
      <c r="BY25" s="2" t="str">
        <f>IF(BY$23="","",IF(MINDS!$C$35="","",MINDS!$C$35))</f>
        <v/>
      </c>
      <c r="BZ25" s="2" t="str">
        <f>IF(BZ$23="","",IF(MINDS!$C$35="","",MINDS!$C$35))</f>
        <v/>
      </c>
      <c r="CA25" s="2" t="str">
        <f>IF(CA$23="","",IF(MINDS!$C$35="","",MINDS!$C$35))</f>
        <v/>
      </c>
      <c r="CB25" s="2" t="str">
        <f>IF(CB$23="","",IF(MINDS!$C$35="","",MINDS!$C$35))</f>
        <v/>
      </c>
      <c r="CC25" s="2" t="str">
        <f>IF(CC$23="","",IF(MINDS!$C$35="","",MINDS!$C$35))</f>
        <v/>
      </c>
      <c r="CD25" s="2" t="str">
        <f>IF(CD$23="","",IF(MINDS!$C$35="","",MINDS!$C$35))</f>
        <v/>
      </c>
      <c r="CE25" s="2" t="str">
        <f>IF(CE$23="","",IF(MINDS!$C$35="","",MINDS!$C$35))</f>
        <v/>
      </c>
      <c r="CF25" s="2" t="str">
        <f>IF(CF$23="","",IF(MINDS!$C$35="","",MINDS!$C$35))</f>
        <v/>
      </c>
      <c r="CG25" s="2" t="str">
        <f>IF(CG$23="","",IF(MINDS!$C$35="","",MINDS!$C$35))</f>
        <v/>
      </c>
      <c r="CH25" s="2" t="str">
        <f>IF(CH$23="","",IF(MINDS!$C$35="","",MINDS!$C$35))</f>
        <v/>
      </c>
      <c r="CI25" s="2" t="str">
        <f>IF(CI$23="","",IF(MINDS!$C$35="","",MINDS!$C$35))</f>
        <v/>
      </c>
      <c r="CJ25" s="2" t="str">
        <f>IF(CJ$23="","",IF(MINDS!$C$35="","",MINDS!$C$35))</f>
        <v/>
      </c>
      <c r="CK25" s="2" t="str">
        <f>IF(CK$23="","",IF(MINDS!$C$35="","",MINDS!$C$35))</f>
        <v/>
      </c>
      <c r="CL25" s="2" t="str">
        <f>IF(CL$23="","",IF(MINDS!$C$35="","",MINDS!$C$35))</f>
        <v/>
      </c>
      <c r="CM25" s="2" t="str">
        <f>IF(CM$23="","",IF(MINDS!$C$35="","",MINDS!$C$35))</f>
        <v/>
      </c>
      <c r="CN25" s="2" t="str">
        <f>IF(CN$23="","",IF(MINDS!$C$35="","",MINDS!$C$35))</f>
        <v/>
      </c>
      <c r="CO25" s="2" t="str">
        <f>IF(CO$23="","",IF(MINDS!$C$35="","",MINDS!$C$35))</f>
        <v/>
      </c>
      <c r="CP25" s="2" t="str">
        <f>IF(CP$23="","",IF(MINDS!$C$35="","",MINDS!$C$35))</f>
        <v/>
      </c>
      <c r="CQ25" s="2" t="str">
        <f>IF(CQ$23="","",IF(MINDS!$C$35="","",MINDS!$C$35))</f>
        <v/>
      </c>
      <c r="CR25" s="2" t="str">
        <f>IF(CR$23="","",IF(MINDS!$C$35="","",MINDS!$C$35))</f>
        <v/>
      </c>
      <c r="CS25" s="2" t="str">
        <f>IF(CS$23="","",IF(MINDS!$C$35="","",MINDS!$C$35))</f>
        <v/>
      </c>
      <c r="CT25" s="2" t="str">
        <f>IF(CT$23="","",IF(MINDS!$C$35="","",MINDS!$C$35))</f>
        <v/>
      </c>
      <c r="CU25" s="2" t="str">
        <f>IF(CU$23="","",IF(MINDS!$C$35="","",MINDS!$C$35))</f>
        <v/>
      </c>
      <c r="CV25" s="2" t="str">
        <f>IF(CV$23="","",IF(MINDS!$C$35="","",MINDS!$C$35))</f>
        <v/>
      </c>
      <c r="CW25" s="2" t="str">
        <f>IF(CW$23="","",IF(MINDS!$C$35="","",MINDS!$C$35))</f>
        <v/>
      </c>
      <c r="CX25" s="2" t="str">
        <f>IF(CX$23="","",IF(MINDS!$C$35="","",MINDS!$C$35))</f>
        <v/>
      </c>
      <c r="CY25" s="2" t="str">
        <f>IF(CY$23="","",IF(MINDS!$C$35="","",MINDS!$C$35))</f>
        <v/>
      </c>
      <c r="CZ25" s="2" t="str">
        <f>IF(CZ$23="","",IF(MINDS!$C$35="","",MINDS!$C$35))</f>
        <v/>
      </c>
      <c r="DA25" s="2" t="str">
        <f>IF(DA$23="","",IF(MINDS!$C$35="","",MINDS!$C$35))</f>
        <v/>
      </c>
      <c r="DB25" s="2" t="str">
        <f>IF(DB$23="","",IF(MINDS!$C$35="","",MINDS!$C$35))</f>
        <v/>
      </c>
      <c r="DC25" s="2" t="str">
        <f>IF(DC$23="","",IF(MINDS!$C$35="","",MINDS!$C$35))</f>
        <v/>
      </c>
      <c r="DD25" s="2" t="str">
        <f>IF(DD$23="","",IF(MINDS!$C$35="","",MINDS!$C$35))</f>
        <v/>
      </c>
      <c r="DE25" s="2" t="str">
        <f>IF(DE$23="","",IF(MINDS!$C$35="","",MINDS!$C$35))</f>
        <v/>
      </c>
      <c r="DF25" s="2" t="str">
        <f>IF(DF$23="","",IF(MINDS!$C$35="","",MINDS!$C$35))</f>
        <v/>
      </c>
      <c r="DG25" s="2" t="str">
        <f>IF(DG$23="","",IF(MINDS!$C$35="","",MINDS!$C$35))</f>
        <v/>
      </c>
      <c r="DH25" s="2" t="str">
        <f>IF(DH$23="","",IF(MINDS!$C$35="","",MINDS!$C$35))</f>
        <v/>
      </c>
      <c r="DI25" s="2" t="str">
        <f>IF(DI$23="","",IF(MINDS!$C$35="","",MINDS!$C$35))</f>
        <v/>
      </c>
      <c r="DJ25" s="2" t="str">
        <f>IF(DJ$23="","",IF(MINDS!$C$35="","",MINDS!$C$35))</f>
        <v/>
      </c>
      <c r="DK25" s="2" t="str">
        <f>IF(DK$23="","",IF(MINDS!$C$35="","",MINDS!$C$35))</f>
        <v/>
      </c>
      <c r="DL25" s="2" t="str">
        <f>IF(DL$23="","",IF(MINDS!$C$35="","",MINDS!$C$35))</f>
        <v/>
      </c>
      <c r="DM25" s="2" t="str">
        <f>IF(DM$23="","",IF(MINDS!$C$35="","",MINDS!$C$35))</f>
        <v/>
      </c>
      <c r="DN25" s="2" t="str">
        <f>IF(DN$23="","",IF(MINDS!$C$35="","",MINDS!$C$35))</f>
        <v/>
      </c>
      <c r="DO25" s="2" t="str">
        <f>IF(DO$23="","",IF(MINDS!$C$35="","",MINDS!$C$35))</f>
        <v/>
      </c>
      <c r="DP25" s="2" t="str">
        <f>IF(DP$23="","",IF(MINDS!$C$35="","",MINDS!$C$35))</f>
        <v/>
      </c>
      <c r="DQ25" s="2" t="str">
        <f>IF(DQ$23="","",IF(MINDS!$C$35="","",MINDS!$C$35))</f>
        <v/>
      </c>
      <c r="DR25" s="2" t="str">
        <f>IF(DR$23="","",IF(MINDS!$C$35="","",MINDS!$C$35))</f>
        <v/>
      </c>
      <c r="DS25" s="2" t="str">
        <f>IF(DS$23="","",IF(MINDS!$C$35="","",MINDS!$C$35))</f>
        <v/>
      </c>
      <c r="DT25" s="2" t="str">
        <f>IF(DT$23="","",IF(MINDS!$C$35="","",MINDS!$C$35))</f>
        <v/>
      </c>
      <c r="DU25" s="2" t="str">
        <f>IF(DU$23="","",IF(MINDS!$C$35="","",MINDS!$C$35))</f>
        <v/>
      </c>
      <c r="DV25" s="2" t="str">
        <f>IF(DV$23="","",IF(MINDS!$C$35="","",MINDS!$C$35))</f>
        <v/>
      </c>
      <c r="DW25" s="2" t="str">
        <f>IF(DW$23="","",IF(MINDS!$C$35="","",MINDS!$C$35))</f>
        <v/>
      </c>
      <c r="DX25" s="2" t="str">
        <f>IF(DX$23="","",IF(MINDS!$C$35="","",MINDS!$C$35))</f>
        <v/>
      </c>
      <c r="DY25" s="2" t="str">
        <f>IF(DY$23="","",IF(MINDS!$C$35="","",MINDS!$C$35))</f>
        <v/>
      </c>
      <c r="DZ25" s="2" t="str">
        <f>IF(DZ$23="","",IF(MINDS!$C$35="","",MINDS!$C$35))</f>
        <v/>
      </c>
      <c r="EA25" s="2" t="str">
        <f>IF(EA$23="","",IF(MINDS!$C$35="","",MINDS!$C$35))</f>
        <v/>
      </c>
      <c r="EB25" s="2" t="str">
        <f>IF(EB$23="","",IF(MINDS!$C$35="","",MINDS!$C$35))</f>
        <v/>
      </c>
      <c r="EC25" s="2" t="str">
        <f>IF(EC$23="","",IF(MINDS!$C$35="","",MINDS!$C$35))</f>
        <v/>
      </c>
      <c r="ED25" s="2" t="str">
        <f>IF(ED$23="","",IF(MINDS!$C$35="","",MINDS!$C$35))</f>
        <v/>
      </c>
      <c r="EE25" s="2" t="str">
        <f>IF(EE$23="","",IF(MINDS!$C$35="","",MINDS!$C$35))</f>
        <v/>
      </c>
      <c r="EF25" s="2" t="str">
        <f>IF(EF$23="","",IF(MINDS!$C$35="","",MINDS!$C$35))</f>
        <v/>
      </c>
      <c r="EG25" s="2" t="str">
        <f>IF(EG$23="","",IF(MINDS!$C$35="","",MINDS!$C$35))</f>
        <v/>
      </c>
      <c r="EH25" s="2" t="str">
        <f>IF(EH$23="","",IF(MINDS!$C$35="","",MINDS!$C$35))</f>
        <v/>
      </c>
      <c r="EI25" s="2" t="str">
        <f>IF(EI$23="","",IF(MINDS!$C$35="","",MINDS!$C$35))</f>
        <v/>
      </c>
      <c r="EJ25" s="2" t="str">
        <f>IF(EJ$23="","",IF(MINDS!$C$35="","",MINDS!$C$35))</f>
        <v/>
      </c>
      <c r="EK25" s="2" t="str">
        <f>IF(EK$23="","",IF(MINDS!$C$35="","",MINDS!$C$35))</f>
        <v/>
      </c>
      <c r="EL25" s="2" t="str">
        <f>IF(EL$23="","",IF(MINDS!$C$35="","",MINDS!$C$35))</f>
        <v/>
      </c>
      <c r="EM25" s="2" t="str">
        <f>IF(EM$23="","",IF(MINDS!$C$35="","",MINDS!$C$35))</f>
        <v/>
      </c>
      <c r="EN25" s="2" t="str">
        <f>IF(EN$23="","",IF(MINDS!$C$35="","",MINDS!$C$35))</f>
        <v/>
      </c>
      <c r="EO25" s="2" t="str">
        <f>IF(EO$23="","",IF(MINDS!$C$35="","",MINDS!$C$35))</f>
        <v/>
      </c>
      <c r="EP25" s="2" t="str">
        <f>IF(EP$23="","",IF(MINDS!$C$35="","",MINDS!$C$35))</f>
        <v/>
      </c>
      <c r="EQ25" s="2" t="str">
        <f>IF(EQ$23="","",IF(MINDS!$C$35="","",MINDS!$C$35))</f>
        <v/>
      </c>
      <c r="ER25" s="2" t="str">
        <f>IF(ER$23="","",IF(MINDS!$C$35="","",MINDS!$C$35))</f>
        <v/>
      </c>
      <c r="ES25" s="2" t="str">
        <f>IF(ES$23="","",IF(MINDS!$C$35="","",MINDS!$C$35))</f>
        <v/>
      </c>
      <c r="ET25" s="2" t="str">
        <f>IF(ET$23="","",IF(MINDS!$C$35="","",MINDS!$C$35))</f>
        <v/>
      </c>
      <c r="EU25" s="2" t="str">
        <f>IF(EU$23="","",IF(MINDS!$C$35="","",MINDS!$C$35))</f>
        <v/>
      </c>
      <c r="EV25" s="2" t="str">
        <f>IF(EV$23="","",IF(MINDS!$C$35="","",MINDS!$C$35))</f>
        <v/>
      </c>
      <c r="EW25" s="2" t="str">
        <f>IF(EW$23="","",IF(MINDS!$C$35="","",MINDS!$C$35))</f>
        <v/>
      </c>
      <c r="EX25" s="2" t="str">
        <f>IF(EX$23="","",IF(MINDS!$C$35="","",MINDS!$C$35))</f>
        <v/>
      </c>
      <c r="EY25" s="2" t="str">
        <f>IF(EY$23="","",IF(MINDS!$C$35="","",MINDS!$C$35))</f>
        <v/>
      </c>
      <c r="EZ25" s="2" t="str">
        <f>IF(EZ$23="","",IF(MINDS!$C$35="","",MINDS!$C$35))</f>
        <v/>
      </c>
      <c r="FA25" s="2" t="str">
        <f>IF(FA$23="","",IF(MINDS!$C$35="","",MINDS!$C$35))</f>
        <v/>
      </c>
      <c r="FB25" s="2" t="str">
        <f>IF(FB$23="","",IF(MINDS!$C$35="","",MINDS!$C$35))</f>
        <v/>
      </c>
      <c r="FC25" s="2" t="str">
        <f>IF(FC$23="","",IF(MINDS!$C$35="","",MINDS!$C$35))</f>
        <v/>
      </c>
      <c r="FD25" s="2" t="str">
        <f>IF(FD$23="","",IF(MINDS!$C$35="","",MINDS!$C$35))</f>
        <v/>
      </c>
      <c r="FE25" s="2" t="str">
        <f>IF(FE$23="","",IF(MINDS!$C$35="","",MINDS!$C$35))</f>
        <v/>
      </c>
      <c r="FF25" s="2" t="str">
        <f>IF(FF$23="","",IF(MINDS!$C$35="","",MINDS!$C$35))</f>
        <v/>
      </c>
      <c r="FG25" s="2" t="str">
        <f>IF(FG$23="","",IF(MINDS!$C$35="","",MINDS!$C$35))</f>
        <v/>
      </c>
      <c r="FH25" s="2" t="str">
        <f>IF(FH$23="","",IF(MINDS!$C$35="","",MINDS!$C$35))</f>
        <v/>
      </c>
      <c r="FI25" s="2" t="str">
        <f>IF(FI$23="","",IF(MINDS!$C$35="","",MINDS!$C$35))</f>
        <v/>
      </c>
      <c r="FJ25" s="2" t="str">
        <f>IF(FJ$23="","",IF(MINDS!$C$35="","",MINDS!$C$35))</f>
        <v/>
      </c>
      <c r="FK25" s="2" t="str">
        <f>IF(FK$23="","",IF(MINDS!$C$35="","",MINDS!$C$35))</f>
        <v/>
      </c>
      <c r="FL25" s="2" t="str">
        <f>IF(FL$23="","",IF(MINDS!$C$35="","",MINDS!$C$35))</f>
        <v/>
      </c>
      <c r="FM25" s="2" t="str">
        <f>IF(FM$23="","",IF(MINDS!$C$35="","",MINDS!$C$35))</f>
        <v/>
      </c>
      <c r="FN25" s="2" t="str">
        <f>IF(FN$23="","",IF(MINDS!$C$35="","",MINDS!$C$35))</f>
        <v/>
      </c>
      <c r="FO25" s="2" t="str">
        <f>IF(FO$23="","",IF(MINDS!$C$35="","",MINDS!$C$35))</f>
        <v/>
      </c>
      <c r="FP25" s="2" t="str">
        <f>IF(FP$23="","",IF(MINDS!$C$35="","",MINDS!$C$35))</f>
        <v/>
      </c>
      <c r="FQ25" s="2" t="str">
        <f>IF(FQ$23="","",IF(MINDS!$C$35="","",MINDS!$C$35))</f>
        <v/>
      </c>
      <c r="FR25" s="2" t="str">
        <f>IF(FR$23="","",IF(MINDS!$C$35="","",MINDS!$C$35))</f>
        <v/>
      </c>
      <c r="FS25" s="2" t="str">
        <f>IF(FS$23="","",IF(MINDS!$C$35="","",MINDS!$C$35))</f>
        <v/>
      </c>
      <c r="FT25" s="2" t="str">
        <f>IF(FT$23="","",IF(MINDS!$C$35="","",MINDS!$C$35))</f>
        <v/>
      </c>
      <c r="FU25" s="2" t="str">
        <f>IF(FU$23="","",IF(MINDS!$C$35="","",MINDS!$C$35))</f>
        <v/>
      </c>
      <c r="FV25" s="2" t="str">
        <f>IF(FV$23="","",IF(MINDS!$C$35="","",MINDS!$C$35))</f>
        <v/>
      </c>
      <c r="FW25" s="2" t="str">
        <f>IF(FW$23="","",IF(MINDS!$C$35="","",MINDS!$C$35))</f>
        <v/>
      </c>
      <c r="FX25" s="2" t="str">
        <f>IF(FX$23="","",IF(MINDS!$C$35="","",MINDS!$C$35))</f>
        <v/>
      </c>
      <c r="FY25" s="2" t="str">
        <f>IF(FY$23="","",IF(MINDS!$C$35="","",MINDS!$C$35))</f>
        <v/>
      </c>
      <c r="FZ25" s="2" t="str">
        <f>IF(FZ$23="","",IF(MINDS!$C$35="","",MINDS!$C$35))</f>
        <v/>
      </c>
      <c r="GA25" s="2" t="str">
        <f>IF(GA$23="","",IF(MINDS!$C$35="","",MINDS!$C$35))</f>
        <v/>
      </c>
      <c r="GB25" s="2" t="str">
        <f>IF(GB$23="","",IF(MINDS!$C$35="","",MINDS!$C$35))</f>
        <v/>
      </c>
      <c r="GC25" s="2" t="str">
        <f>IF(GC$23="","",IF(MINDS!$C$35="","",MINDS!$C$35))</f>
        <v/>
      </c>
      <c r="GD25" s="2" t="str">
        <f>IF(GD$23="","",IF(MINDS!$C$35="","",MINDS!$C$35))</f>
        <v/>
      </c>
      <c r="GE25" s="2" t="str">
        <f>IF(GE$23="","",IF(MINDS!$C$35="","",MINDS!$C$35))</f>
        <v/>
      </c>
      <c r="GF25" s="2" t="str">
        <f>IF(GF$23="","",IF(MINDS!$C$35="","",MINDS!$C$35))</f>
        <v/>
      </c>
      <c r="GG25" s="2" t="str">
        <f>IF(GG$23="","",IF(MINDS!$C$35="","",MINDS!$C$35))</f>
        <v/>
      </c>
      <c r="GH25" s="2" t="str">
        <f>IF(GH$23="","",IF(MINDS!$C$35="","",MINDS!$C$35))</f>
        <v/>
      </c>
      <c r="GI25" s="2" t="str">
        <f>IF(GI$23="","",IF(MINDS!$C$35="","",MINDS!$C$35))</f>
        <v/>
      </c>
      <c r="GJ25" s="2" t="str">
        <f>IF(GJ$23="","",IF(MINDS!$C$35="","",MINDS!$C$35))</f>
        <v/>
      </c>
      <c r="GK25" s="2" t="str">
        <f>IF(GK$23="","",IF(MINDS!$C$35="","",MINDS!$C$35))</f>
        <v/>
      </c>
      <c r="GL25" s="2" t="str">
        <f>IF(GL$23="","",IF(MINDS!$C$35="","",MINDS!$C$35))</f>
        <v/>
      </c>
      <c r="GM25" s="2" t="str">
        <f>IF(GM$23="","",IF(MINDS!$C$35="","",MINDS!$C$35))</f>
        <v/>
      </c>
      <c r="GN25" s="2" t="str">
        <f>IF(GN$23="","",IF(MINDS!$C$35="","",MINDS!$C$35))</f>
        <v/>
      </c>
      <c r="GO25" s="2" t="str">
        <f>IF(GO$23="","",IF(MINDS!$C$35="","",MINDS!$C$35))</f>
        <v/>
      </c>
      <c r="GP25" s="2" t="str">
        <f>IF(GP$23="","",IF(MINDS!$C$35="","",MINDS!$C$35))</f>
        <v/>
      </c>
      <c r="GQ25" s="2" t="str">
        <f>IF(GQ$23="","",IF(MINDS!$C$35="","",MINDS!$C$35))</f>
        <v/>
      </c>
      <c r="GR25" s="2" t="str">
        <f>IF(GR$23="","",IF(MINDS!$C$35="","",MINDS!$C$35))</f>
        <v/>
      </c>
      <c r="GS25" s="2" t="str">
        <f>IF(GS$23="","",IF(MINDS!$C$35="","",MINDS!$C$35))</f>
        <v/>
      </c>
      <c r="GT25" s="2" t="str">
        <f>IF(GT$23="","",IF(MINDS!$C$35="","",MINDS!$C$35))</f>
        <v/>
      </c>
      <c r="GU25" s="2" t="str">
        <f>IF(GU$23="","",IF(MINDS!$C$35="","",MINDS!$C$35))</f>
        <v/>
      </c>
      <c r="GV25" s="2" t="str">
        <f>IF(GV$23="","",IF(MINDS!$C$35="","",MINDS!$C$35))</f>
        <v/>
      </c>
      <c r="GW25" s="2" t="str">
        <f>IF(GW$23="","",IF(MINDS!$C$35="","",MINDS!$C$35))</f>
        <v/>
      </c>
      <c r="GX25" s="2" t="str">
        <f>IF(GX$23="","",IF(MINDS!$C$35="","",MINDS!$C$35))</f>
        <v/>
      </c>
      <c r="GY25" s="2" t="str">
        <f>IF(GY$23="","",IF(MINDS!$C$35="","",MINDS!$C$35))</f>
        <v/>
      </c>
      <c r="GZ25" s="2" t="str">
        <f>IF(GZ$23="","",IF(MINDS!$C$35="","",MINDS!$C$35))</f>
        <v/>
      </c>
      <c r="HA25" s="2" t="str">
        <f>IF(HA$23="","",IF(MINDS!$C$35="","",MINDS!$C$35))</f>
        <v/>
      </c>
      <c r="HB25" s="2" t="str">
        <f>IF(HB$23="","",IF(MINDS!$C$35="","",MINDS!$C$35))</f>
        <v/>
      </c>
      <c r="HC25" s="2" t="str">
        <f>IF(HC$23="","",IF(MINDS!$C$35="","",MINDS!$C$35))</f>
        <v/>
      </c>
      <c r="HD25" s="2" t="str">
        <f>IF(HD$23="","",IF(MINDS!$C$35="","",MINDS!$C$35))</f>
        <v/>
      </c>
      <c r="HE25" s="2" t="str">
        <f>IF(HE$23="","",IF(MINDS!$C$35="","",MINDS!$C$35))</f>
        <v/>
      </c>
      <c r="HF25" s="2" t="str">
        <f>IF(HF$23="","",IF(MINDS!$C$35="","",MINDS!$C$35))</f>
        <v/>
      </c>
      <c r="HG25" s="2" t="str">
        <f>IF(HG$23="","",IF(MINDS!$C$35="","",MINDS!$C$35))</f>
        <v/>
      </c>
      <c r="HH25" s="2" t="str">
        <f>IF(HH$23="","",IF(MINDS!$C$35="","",MINDS!$C$35))</f>
        <v/>
      </c>
      <c r="HI25" s="2" t="str">
        <f>IF(HI$23="","",IF(MINDS!$C$35="","",MINDS!$C$35))</f>
        <v/>
      </c>
      <c r="HJ25" s="2" t="str">
        <f>IF(HJ$23="","",IF(MINDS!$C$35="","",MINDS!$C$35))</f>
        <v/>
      </c>
      <c r="HK25" s="2" t="str">
        <f>IF(HK$23="","",IF(MINDS!$C$35="","",MINDS!$C$35))</f>
        <v/>
      </c>
      <c r="HL25" s="2" t="str">
        <f>IF(HL$23="","",IF(MINDS!$C$35="","",MINDS!$C$35))</f>
        <v/>
      </c>
      <c r="HM25" s="2" t="str">
        <f>IF(HM$23="","",IF(MINDS!$C$35="","",MINDS!$C$35))</f>
        <v/>
      </c>
      <c r="HN25" s="2" t="str">
        <f>IF(HN$23="","",IF(MINDS!$C$35="","",MINDS!$C$35))</f>
        <v/>
      </c>
      <c r="HO25" s="2" t="str">
        <f>IF(HO$23="","",IF(MINDS!$C$35="","",MINDS!$C$35))</f>
        <v/>
      </c>
      <c r="HP25" s="2" t="str">
        <f>IF(HP$23="","",IF(MINDS!$C$35="","",MINDS!$C$35))</f>
        <v/>
      </c>
      <c r="HQ25" s="2" t="str">
        <f>IF(HQ$23="","",IF(MINDS!$C$35="","",MINDS!$C$35))</f>
        <v/>
      </c>
      <c r="HR25" s="2" t="str">
        <f>IF(HR$23="","",IF(MINDS!$C$35="","",MINDS!$C$35))</f>
        <v/>
      </c>
      <c r="HS25" s="2" t="str">
        <f>IF(HS$23="","",IF(MINDS!$C$35="","",MINDS!$C$35))</f>
        <v/>
      </c>
      <c r="HT25" s="2" t="str">
        <f>IF(HT$23="","",IF(MINDS!$C$35="","",MINDS!$C$35))</f>
        <v/>
      </c>
      <c r="HU25" s="2" t="str">
        <f>IF(HU$23="","",IF(MINDS!$C$35="","",MINDS!$C$35))</f>
        <v/>
      </c>
      <c r="HV25" s="2" t="str">
        <f>IF(HV$23="","",IF(MINDS!$C$35="","",MINDS!$C$35))</f>
        <v/>
      </c>
      <c r="HW25" s="2" t="str">
        <f>IF(HW$23="","",IF(MINDS!$C$35="","",MINDS!$C$35))</f>
        <v/>
      </c>
      <c r="HX25" s="2" t="str">
        <f>IF(HX$23="","",IF(MINDS!$C$35="","",MINDS!$C$35))</f>
        <v/>
      </c>
      <c r="HY25" s="2" t="str">
        <f>IF(HY$23="","",IF(MINDS!$C$35="","",MINDS!$C$35))</f>
        <v/>
      </c>
      <c r="HZ25" s="2" t="str">
        <f>IF(HZ$23="","",IF(MINDS!$C$35="","",MINDS!$C$35))</f>
        <v/>
      </c>
      <c r="IA25" s="2" t="str">
        <f>IF(IA$23="","",IF(MINDS!$C$35="","",MINDS!$C$35))</f>
        <v/>
      </c>
      <c r="IB25" s="2" t="str">
        <f>IF(IB$23="","",IF(MINDS!$C$35="","",MINDS!$C$35))</f>
        <v/>
      </c>
      <c r="IC25" s="2" t="str">
        <f>IF(IC$23="","",IF(MINDS!$C$35="","",MINDS!$C$35))</f>
        <v/>
      </c>
      <c r="ID25" s="2" t="str">
        <f>IF(ID$23="","",IF(MINDS!$C$35="","",MINDS!$C$35))</f>
        <v/>
      </c>
      <c r="IE25" s="2" t="str">
        <f>IF(IE$23="","",IF(MINDS!$C$35="","",MINDS!$C$35))</f>
        <v/>
      </c>
      <c r="IF25" s="2" t="str">
        <f>IF(IF$23="","",IF(MINDS!$C$35="","",MINDS!$C$35))</f>
        <v/>
      </c>
      <c r="IG25" s="2" t="str">
        <f>IF(IG$23="","",IF(MINDS!$C$35="","",MINDS!$C$35))</f>
        <v/>
      </c>
      <c r="IH25" s="2" t="str">
        <f>IF(IH$23="","",IF(MINDS!$C$35="","",MINDS!$C$35))</f>
        <v/>
      </c>
      <c r="II25" s="2" t="str">
        <f>IF(II$23="","",IF(MINDS!$C$35="","",MINDS!$C$35))</f>
        <v/>
      </c>
      <c r="IJ25" s="2" t="str">
        <f>IF(IJ$23="","",IF(MINDS!$C$35="","",MINDS!$C$35))</f>
        <v/>
      </c>
      <c r="IK25" s="2" t="str">
        <f>IF(IK$23="","",IF(MINDS!$C$35="","",MINDS!$C$35))</f>
        <v/>
      </c>
      <c r="IL25" s="2" t="str">
        <f>IF(IL$23="","",IF(MINDS!$C$35="","",MINDS!$C$35))</f>
        <v/>
      </c>
      <c r="IM25" s="2" t="str">
        <f>IF(IM$23="","",IF(MINDS!$C$35="","",MINDS!$C$35))</f>
        <v/>
      </c>
      <c r="IN25" s="2" t="str">
        <f>IF(IN$23="","",IF(MINDS!$C$35="","",MINDS!$C$35))</f>
        <v/>
      </c>
      <c r="IO25" s="2" t="str">
        <f>IF(IO$23="","",IF(MINDS!$C$35="","",MINDS!$C$35))</f>
        <v/>
      </c>
      <c r="IP25" s="2" t="str">
        <f>IF(IP$23="","",IF(MINDS!$C$35="","",MINDS!$C$35))</f>
        <v/>
      </c>
      <c r="IQ25" s="2" t="str">
        <f>IF(IQ$23="","",IF(MINDS!$C$35="","",MINDS!$C$35))</f>
        <v/>
      </c>
      <c r="IR25" s="2" t="str">
        <f>IF(IR$23="","",IF(MINDS!$C$35="","",MINDS!$C$35))</f>
        <v/>
      </c>
      <c r="IS25" s="2" t="str">
        <f>IF(IS$23="","",IF(MINDS!$C$35="","",MINDS!$C$35))</f>
        <v/>
      </c>
      <c r="IT25" s="2" t="str">
        <f>IF(IT$23="","",IF(MINDS!$C$35="","",MINDS!$C$35))</f>
        <v/>
      </c>
      <c r="IU25" s="2" t="str">
        <f>IF(IU$23="","",IF(MINDS!$C$35="","",MINDS!$C$35))</f>
        <v/>
      </c>
      <c r="IV25" s="2" t="str">
        <f>IF(IV$23="","",IF(MINDS!$C$35="","",MINDS!$C$35))</f>
        <v/>
      </c>
    </row>
    <row r="26" spans="1:256" x14ac:dyDescent="0.2">
      <c r="A26" s="3" t="s">
        <v>3</v>
      </c>
      <c r="C26" s="2" t="str">
        <f>IF(C$23="","",MINDS!C$38)</f>
        <v/>
      </c>
      <c r="D26" s="2" t="str">
        <f>IF(D$23="","",MINDS!D$38)</f>
        <v/>
      </c>
      <c r="E26" s="2" t="str">
        <f>IF(E$23="","",MINDS!E$38)</f>
        <v/>
      </c>
      <c r="F26" s="2" t="str">
        <f>IF(F$23="","",MINDS!F$38)</f>
        <v/>
      </c>
      <c r="G26" s="2" t="str">
        <f>IF(G$23="","",MINDS!G$38)</f>
        <v/>
      </c>
      <c r="H26" s="2" t="str">
        <f>IF(H$23="","",MINDS!H$38)</f>
        <v/>
      </c>
      <c r="I26" s="2" t="str">
        <f>IF(I$23="","",MINDS!I$38)</f>
        <v/>
      </c>
      <c r="J26" s="2" t="str">
        <f>IF(J$23="","",MINDS!J$38)</f>
        <v/>
      </c>
      <c r="K26" s="2" t="str">
        <f>IF(K$23="","",MINDS!K$38)</f>
        <v/>
      </c>
      <c r="L26" s="2" t="str">
        <f>IF(L$23="","",MINDS!L$38)</f>
        <v/>
      </c>
      <c r="M26" s="2" t="str">
        <f>IF(M$23="","",MINDS!M$38)</f>
        <v/>
      </c>
      <c r="N26" s="2" t="str">
        <f>IF(N$23="","",MINDS!N$38)</f>
        <v/>
      </c>
      <c r="O26" s="2" t="str">
        <f>IF(O$23="","",MINDS!O$38)</f>
        <v/>
      </c>
      <c r="P26" s="2" t="str">
        <f>IF(P$23="","",MINDS!P$38)</f>
        <v/>
      </c>
      <c r="Q26" s="2" t="str">
        <f>IF(Q$23="","",MINDS!Q$38)</f>
        <v/>
      </c>
      <c r="R26" s="2" t="str">
        <f>IF(R$23="","",MINDS!R$38)</f>
        <v/>
      </c>
      <c r="S26" s="2" t="str">
        <f>IF(S$23="","",MINDS!S$38)</f>
        <v/>
      </c>
      <c r="T26" s="2" t="str">
        <f>IF(T$23="","",MINDS!T$38)</f>
        <v/>
      </c>
      <c r="U26" s="2" t="str">
        <f>IF(U$23="","",MINDS!U$38)</f>
        <v/>
      </c>
      <c r="V26" s="2" t="str">
        <f>IF(V$23="","",MINDS!V$38)</f>
        <v/>
      </c>
      <c r="W26" s="2" t="str">
        <f>IF(W$23="","",MINDS!W$38)</f>
        <v/>
      </c>
      <c r="X26" s="2" t="str">
        <f>IF(X$23="","",MINDS!X$38)</f>
        <v/>
      </c>
      <c r="Y26" s="2" t="str">
        <f>IF(Y$23="","",MINDS!Y$38)</f>
        <v/>
      </c>
      <c r="Z26" s="2" t="str">
        <f>IF(Z$23="","",MINDS!Z$38)</f>
        <v/>
      </c>
      <c r="AA26" s="2" t="str">
        <f>IF(AA$23="","",MINDS!AA$38)</f>
        <v/>
      </c>
      <c r="AB26" s="2" t="str">
        <f>IF(AB$23="","",MINDS!AB$38)</f>
        <v/>
      </c>
      <c r="AC26" s="2" t="str">
        <f>IF(AC$23="","",MINDS!AC$38)</f>
        <v/>
      </c>
      <c r="AD26" s="2" t="str">
        <f>IF(AD$23="","",MINDS!AD$38)</f>
        <v/>
      </c>
      <c r="AE26" s="2" t="str">
        <f>IF(AE$23="","",MINDS!AE$38)</f>
        <v/>
      </c>
      <c r="AF26" s="2" t="str">
        <f>IF(AF$23="","",MINDS!AF$38)</f>
        <v/>
      </c>
      <c r="AG26" s="2" t="str">
        <f>IF(AG$23="","",MINDS!AG$38)</f>
        <v/>
      </c>
      <c r="AH26" s="2" t="str">
        <f>IF(AH$23="","",MINDS!AH$38)</f>
        <v/>
      </c>
      <c r="AI26" s="2" t="str">
        <f>IF(AI$23="","",MINDS!AI$38)</f>
        <v/>
      </c>
      <c r="AJ26" s="2" t="str">
        <f>IF(AJ$23="","",MINDS!AJ$38)</f>
        <v/>
      </c>
      <c r="AK26" s="2" t="str">
        <f>IF(AK$23="","",MINDS!AK$38)</f>
        <v/>
      </c>
      <c r="AL26" s="2" t="str">
        <f>IF(AL$23="","",MINDS!AL$38)</f>
        <v/>
      </c>
      <c r="AM26" s="2" t="str">
        <f>IF(AM$23="","",MINDS!AM$38)</f>
        <v/>
      </c>
      <c r="AN26" s="2" t="str">
        <f>IF(AN$23="","",MINDS!AN$38)</f>
        <v/>
      </c>
      <c r="AO26" s="2" t="str">
        <f>IF(AO$23="","",MINDS!AO$38)</f>
        <v/>
      </c>
      <c r="AP26" s="2" t="str">
        <f>IF(AP$23="","",MINDS!AP$38)</f>
        <v/>
      </c>
      <c r="AQ26" s="2" t="str">
        <f>IF(AQ$23="","",MINDS!AQ$38)</f>
        <v/>
      </c>
      <c r="AR26" s="2" t="str">
        <f>IF(AR$23="","",MINDS!AR$38)</f>
        <v/>
      </c>
      <c r="AS26" s="2" t="str">
        <f>IF(AS$23="","",MINDS!AS$38)</f>
        <v/>
      </c>
      <c r="AT26" s="2" t="str">
        <f>IF(AT$23="","",MINDS!AT$38)</f>
        <v/>
      </c>
      <c r="AU26" s="2" t="str">
        <f>IF(AU$23="","",MINDS!AU$38)</f>
        <v/>
      </c>
      <c r="AV26" s="2" t="str">
        <f>IF(AV$23="","",MINDS!AV$38)</f>
        <v/>
      </c>
      <c r="AW26" s="2" t="str">
        <f>IF(AW$23="","",MINDS!AW$38)</f>
        <v/>
      </c>
      <c r="AX26" s="2" t="str">
        <f>IF(AX$23="","",MINDS!AX$38)</f>
        <v/>
      </c>
      <c r="AY26" s="2" t="str">
        <f>IF(AY$23="","",MINDS!AY$38)</f>
        <v/>
      </c>
      <c r="AZ26" s="2" t="str">
        <f>IF(AZ$23="","",MINDS!AZ$38)</f>
        <v/>
      </c>
      <c r="BA26" s="2" t="str">
        <f>IF(BA$23="","",MINDS!BA$38)</f>
        <v/>
      </c>
      <c r="BB26" s="2" t="str">
        <f>IF(BB$23="","",MINDS!BB$38)</f>
        <v/>
      </c>
      <c r="BC26" s="2" t="str">
        <f>IF(BC$23="","",MINDS!BC$38)</f>
        <v/>
      </c>
      <c r="BD26" s="2" t="str">
        <f>IF(BD$23="","",MINDS!BD$38)</f>
        <v/>
      </c>
      <c r="BE26" s="2" t="str">
        <f>IF(BE$23="","",MINDS!BE$38)</f>
        <v/>
      </c>
      <c r="BF26" s="2" t="str">
        <f>IF(BF$23="","",MINDS!BF$38)</f>
        <v/>
      </c>
      <c r="BG26" s="2" t="str">
        <f>IF(BG$23="","",MINDS!BG$38)</f>
        <v/>
      </c>
      <c r="BH26" s="2" t="str">
        <f>IF(BH$23="","",MINDS!BH$38)</f>
        <v/>
      </c>
      <c r="BI26" s="2" t="str">
        <f>IF(BI$23="","",MINDS!BI$38)</f>
        <v/>
      </c>
      <c r="BJ26" s="2" t="str">
        <f>IF(BJ$23="","",MINDS!BJ$38)</f>
        <v/>
      </c>
      <c r="BK26" s="2" t="str">
        <f>IF(BK$23="","",MINDS!BK$38)</f>
        <v/>
      </c>
      <c r="BL26" s="2" t="str">
        <f>IF(BL$23="","",MINDS!BL$38)</f>
        <v/>
      </c>
      <c r="BM26" s="2" t="str">
        <f>IF(BM$23="","",MINDS!BM$38)</f>
        <v/>
      </c>
      <c r="BN26" s="2" t="str">
        <f>IF(BN$23="","",MINDS!BN$38)</f>
        <v/>
      </c>
      <c r="BO26" s="2" t="str">
        <f>IF(BO$23="","",MINDS!BO$38)</f>
        <v/>
      </c>
      <c r="BP26" s="2" t="str">
        <f>IF(BP$23="","",MINDS!BP$38)</f>
        <v/>
      </c>
      <c r="BQ26" s="2" t="str">
        <f>IF(BQ$23="","",MINDS!BQ$38)</f>
        <v/>
      </c>
      <c r="BR26" s="2" t="str">
        <f>IF(BR$23="","",MINDS!BR$38)</f>
        <v/>
      </c>
      <c r="BS26" s="2" t="str">
        <f>IF(BS$23="","",MINDS!BS$38)</f>
        <v/>
      </c>
      <c r="BT26" s="2" t="str">
        <f>IF(BT$23="","",MINDS!BT$38)</f>
        <v/>
      </c>
      <c r="BU26" s="2" t="str">
        <f>IF(BU$23="","",MINDS!BU$38)</f>
        <v/>
      </c>
      <c r="BV26" s="2" t="str">
        <f>IF(BV$23="","",MINDS!BV$38)</f>
        <v/>
      </c>
      <c r="BW26" s="2" t="str">
        <f>IF(BW$23="","",MINDS!BW$38)</f>
        <v/>
      </c>
      <c r="BX26" s="2" t="str">
        <f>IF(BX$23="","",MINDS!BX$38)</f>
        <v/>
      </c>
      <c r="BY26" s="2" t="str">
        <f>IF(BY$23="","",MINDS!BY$38)</f>
        <v/>
      </c>
      <c r="BZ26" s="2" t="str">
        <f>IF(BZ$23="","",MINDS!BZ$38)</f>
        <v/>
      </c>
      <c r="CA26" s="2" t="str">
        <f>IF(CA$23="","",MINDS!CA$38)</f>
        <v/>
      </c>
      <c r="CB26" s="2" t="str">
        <f>IF(CB$23="","",MINDS!CB$38)</f>
        <v/>
      </c>
      <c r="CC26" s="2" t="str">
        <f>IF(CC$23="","",MINDS!CC$38)</f>
        <v/>
      </c>
      <c r="CD26" s="2" t="str">
        <f>IF(CD$23="","",MINDS!CD$38)</f>
        <v/>
      </c>
      <c r="CE26" s="2" t="str">
        <f>IF(CE$23="","",MINDS!CE$38)</f>
        <v/>
      </c>
      <c r="CF26" s="2" t="str">
        <f>IF(CF$23="","",MINDS!CF$38)</f>
        <v/>
      </c>
      <c r="CG26" s="2" t="str">
        <f>IF(CG$23="","",MINDS!CG$38)</f>
        <v/>
      </c>
      <c r="CH26" s="2" t="str">
        <f>IF(CH$23="","",MINDS!CH$38)</f>
        <v/>
      </c>
      <c r="CI26" s="2" t="str">
        <f>IF(CI$23="","",MINDS!CI$38)</f>
        <v/>
      </c>
      <c r="CJ26" s="2" t="str">
        <f>IF(CJ$23="","",MINDS!CJ$38)</f>
        <v/>
      </c>
      <c r="CK26" s="2" t="str">
        <f>IF(CK$23="","",MINDS!CK$38)</f>
        <v/>
      </c>
      <c r="CL26" s="2" t="str">
        <f>IF(CL$23="","",MINDS!CL$38)</f>
        <v/>
      </c>
      <c r="CM26" s="2" t="str">
        <f>IF(CM$23="","",MINDS!CM$38)</f>
        <v/>
      </c>
      <c r="CN26" s="2" t="str">
        <f>IF(CN$23="","",MINDS!CN$38)</f>
        <v/>
      </c>
      <c r="CO26" s="2" t="str">
        <f>IF(CO$23="","",MINDS!CO$38)</f>
        <v/>
      </c>
      <c r="CP26" s="2" t="str">
        <f>IF(CP$23="","",MINDS!CP$38)</f>
        <v/>
      </c>
      <c r="CQ26" s="2" t="str">
        <f>IF(CQ$23="","",MINDS!CQ$38)</f>
        <v/>
      </c>
      <c r="CR26" s="2" t="str">
        <f>IF(CR$23="","",MINDS!CR$38)</f>
        <v/>
      </c>
      <c r="CS26" s="2" t="str">
        <f>IF(CS$23="","",MINDS!CS$38)</f>
        <v/>
      </c>
      <c r="CT26" s="2" t="str">
        <f>IF(CT$23="","",MINDS!CT$38)</f>
        <v/>
      </c>
      <c r="CU26" s="2" t="str">
        <f>IF(CU$23="","",MINDS!CU$38)</f>
        <v/>
      </c>
      <c r="CV26" s="2" t="str">
        <f>IF(CV$23="","",MINDS!CV$38)</f>
        <v/>
      </c>
      <c r="CW26" s="2" t="str">
        <f>IF(CW$23="","",MINDS!CW$38)</f>
        <v/>
      </c>
      <c r="CX26" s="2" t="str">
        <f>IF(CX$23="","",MINDS!CX$38)</f>
        <v/>
      </c>
      <c r="CY26" s="2" t="str">
        <f>IF(CY$23="","",MINDS!CY$38)</f>
        <v/>
      </c>
      <c r="CZ26" s="2" t="str">
        <f>IF(CZ$23="","",MINDS!CZ$38)</f>
        <v/>
      </c>
      <c r="DA26" s="2" t="str">
        <f>IF(DA$23="","",MINDS!DA$38)</f>
        <v/>
      </c>
      <c r="DB26" s="2" t="str">
        <f>IF(DB$23="","",MINDS!DB$38)</f>
        <v/>
      </c>
      <c r="DC26" s="2" t="str">
        <f>IF(DC$23="","",MINDS!DC$38)</f>
        <v/>
      </c>
      <c r="DD26" s="2" t="str">
        <f>IF(DD$23="","",MINDS!DD$38)</f>
        <v/>
      </c>
      <c r="DE26" s="2" t="str">
        <f>IF(DE$23="","",MINDS!DE$38)</f>
        <v/>
      </c>
      <c r="DF26" s="2" t="str">
        <f>IF(DF$23="","",MINDS!DF$38)</f>
        <v/>
      </c>
      <c r="DG26" s="2" t="str">
        <f>IF(DG$23="","",MINDS!DG$38)</f>
        <v/>
      </c>
      <c r="DH26" s="2" t="str">
        <f>IF(DH$23="","",MINDS!DH$38)</f>
        <v/>
      </c>
      <c r="DI26" s="2" t="str">
        <f>IF(DI$23="","",MINDS!DI$38)</f>
        <v/>
      </c>
      <c r="DJ26" s="2" t="str">
        <f>IF(DJ$23="","",MINDS!DJ$38)</f>
        <v/>
      </c>
      <c r="DK26" s="2" t="str">
        <f>IF(DK$23="","",MINDS!DK$38)</f>
        <v/>
      </c>
      <c r="DL26" s="2" t="str">
        <f>IF(DL$23="","",MINDS!DL$38)</f>
        <v/>
      </c>
      <c r="DM26" s="2" t="str">
        <f>IF(DM$23="","",MINDS!DM$38)</f>
        <v/>
      </c>
      <c r="DN26" s="2" t="str">
        <f>IF(DN$23="","",MINDS!DN$38)</f>
        <v/>
      </c>
      <c r="DO26" s="2" t="str">
        <f>IF(DO$23="","",MINDS!DO$38)</f>
        <v/>
      </c>
      <c r="DP26" s="2" t="str">
        <f>IF(DP$23="","",MINDS!DP$38)</f>
        <v/>
      </c>
      <c r="DQ26" s="2" t="str">
        <f>IF(DQ$23="","",MINDS!DQ$38)</f>
        <v/>
      </c>
      <c r="DR26" s="2" t="str">
        <f>IF(DR$23="","",MINDS!DR$38)</f>
        <v/>
      </c>
      <c r="DS26" s="2" t="str">
        <f>IF(DS$23="","",MINDS!DS$38)</f>
        <v/>
      </c>
      <c r="DT26" s="2" t="str">
        <f>IF(DT$23="","",MINDS!DT$38)</f>
        <v/>
      </c>
      <c r="DU26" s="2" t="str">
        <f>IF(DU$23="","",MINDS!DU$38)</f>
        <v/>
      </c>
      <c r="DV26" s="2" t="str">
        <f>IF(DV$23="","",MINDS!DV$38)</f>
        <v/>
      </c>
      <c r="DW26" s="2" t="str">
        <f>IF(DW$23="","",MINDS!DW$38)</f>
        <v/>
      </c>
      <c r="DX26" s="2" t="str">
        <f>IF(DX$23="","",MINDS!DX$38)</f>
        <v/>
      </c>
      <c r="DY26" s="2" t="str">
        <f>IF(DY$23="","",MINDS!DY$38)</f>
        <v/>
      </c>
      <c r="DZ26" s="2" t="str">
        <f>IF(DZ$23="","",MINDS!DZ$38)</f>
        <v/>
      </c>
      <c r="EA26" s="2" t="str">
        <f>IF(EA$23="","",MINDS!EA$38)</f>
        <v/>
      </c>
      <c r="EB26" s="2" t="str">
        <f>IF(EB$23="","",MINDS!EB$38)</f>
        <v/>
      </c>
      <c r="EC26" s="2" t="str">
        <f>IF(EC$23="","",MINDS!EC$38)</f>
        <v/>
      </c>
      <c r="ED26" s="2" t="str">
        <f>IF(ED$23="","",MINDS!ED$38)</f>
        <v/>
      </c>
      <c r="EE26" s="2" t="str">
        <f>IF(EE$23="","",MINDS!EE$38)</f>
        <v/>
      </c>
      <c r="EF26" s="2" t="str">
        <f>IF(EF$23="","",MINDS!EF$38)</f>
        <v/>
      </c>
      <c r="EG26" s="2" t="str">
        <f>IF(EG$23="","",MINDS!EG$38)</f>
        <v/>
      </c>
      <c r="EH26" s="2" t="str">
        <f>IF(EH$23="","",MINDS!EH$38)</f>
        <v/>
      </c>
      <c r="EI26" s="2" t="str">
        <f>IF(EI$23="","",MINDS!EI$38)</f>
        <v/>
      </c>
      <c r="EJ26" s="2" t="str">
        <f>IF(EJ$23="","",MINDS!EJ$38)</f>
        <v/>
      </c>
      <c r="EK26" s="2" t="str">
        <f>IF(EK$23="","",MINDS!EK$38)</f>
        <v/>
      </c>
      <c r="EL26" s="2" t="str">
        <f>IF(EL$23="","",MINDS!EL$38)</f>
        <v/>
      </c>
      <c r="EM26" s="2" t="str">
        <f>IF(EM$23="","",MINDS!EM$38)</f>
        <v/>
      </c>
      <c r="EN26" s="2" t="str">
        <f>IF(EN$23="","",MINDS!EN$38)</f>
        <v/>
      </c>
      <c r="EO26" s="2" t="str">
        <f>IF(EO$23="","",MINDS!EO$38)</f>
        <v/>
      </c>
      <c r="EP26" s="2" t="str">
        <f>IF(EP$23="","",MINDS!EP$38)</f>
        <v/>
      </c>
      <c r="EQ26" s="2" t="str">
        <f>IF(EQ$23="","",MINDS!EQ$38)</f>
        <v/>
      </c>
      <c r="ER26" s="2" t="str">
        <f>IF(ER$23="","",MINDS!ER$38)</f>
        <v/>
      </c>
      <c r="ES26" s="2" t="str">
        <f>IF(ES$23="","",MINDS!ES$38)</f>
        <v/>
      </c>
      <c r="ET26" s="2" t="str">
        <f>IF(ET$23="","",MINDS!ET$38)</f>
        <v/>
      </c>
      <c r="EU26" s="2" t="str">
        <f>IF(EU$23="","",MINDS!EU$38)</f>
        <v/>
      </c>
      <c r="EV26" s="2" t="str">
        <f>IF(EV$23="","",MINDS!EV$38)</f>
        <v/>
      </c>
      <c r="EW26" s="2" t="str">
        <f>IF(EW$23="","",MINDS!EW$38)</f>
        <v/>
      </c>
      <c r="EX26" s="2" t="str">
        <f>IF(EX$23="","",MINDS!EX$38)</f>
        <v/>
      </c>
      <c r="EY26" s="2" t="str">
        <f>IF(EY$23="","",MINDS!EY$38)</f>
        <v/>
      </c>
      <c r="EZ26" s="2" t="str">
        <f>IF(EZ$23="","",MINDS!EZ$38)</f>
        <v/>
      </c>
      <c r="FA26" s="2" t="str">
        <f>IF(FA$23="","",MINDS!FA$38)</f>
        <v/>
      </c>
      <c r="FB26" s="2" t="str">
        <f>IF(FB$23="","",MINDS!FB$38)</f>
        <v/>
      </c>
      <c r="FC26" s="2" t="str">
        <f>IF(FC$23="","",MINDS!FC$38)</f>
        <v/>
      </c>
      <c r="FD26" s="2" t="str">
        <f>IF(FD$23="","",MINDS!FD$38)</f>
        <v/>
      </c>
      <c r="FE26" s="2" t="str">
        <f>IF(FE$23="","",MINDS!FE$38)</f>
        <v/>
      </c>
      <c r="FF26" s="2" t="str">
        <f>IF(FF$23="","",MINDS!FF$38)</f>
        <v/>
      </c>
      <c r="FG26" s="2" t="str">
        <f>IF(FG$23="","",MINDS!FG$38)</f>
        <v/>
      </c>
      <c r="FH26" s="2" t="str">
        <f>IF(FH$23="","",MINDS!FH$38)</f>
        <v/>
      </c>
      <c r="FI26" s="2" t="str">
        <f>IF(FI$23="","",MINDS!FI$38)</f>
        <v/>
      </c>
      <c r="FJ26" s="2" t="str">
        <f>IF(FJ$23="","",MINDS!FJ$38)</f>
        <v/>
      </c>
      <c r="FK26" s="2" t="str">
        <f>IF(FK$23="","",MINDS!FK$38)</f>
        <v/>
      </c>
      <c r="FL26" s="2" t="str">
        <f>IF(FL$23="","",MINDS!FL$38)</f>
        <v/>
      </c>
      <c r="FM26" s="2" t="str">
        <f>IF(FM$23="","",MINDS!FM$38)</f>
        <v/>
      </c>
      <c r="FN26" s="2" t="str">
        <f>IF(FN$23="","",MINDS!FN$38)</f>
        <v/>
      </c>
      <c r="FO26" s="2" t="str">
        <f>IF(FO$23="","",MINDS!FO$38)</f>
        <v/>
      </c>
      <c r="FP26" s="2" t="str">
        <f>IF(FP$23="","",MINDS!FP$38)</f>
        <v/>
      </c>
      <c r="FQ26" s="2" t="str">
        <f>IF(FQ$23="","",MINDS!FQ$38)</f>
        <v/>
      </c>
      <c r="FR26" s="2" t="str">
        <f>IF(FR$23="","",MINDS!FR$38)</f>
        <v/>
      </c>
      <c r="FS26" s="2" t="str">
        <f>IF(FS$23="","",MINDS!FS$38)</f>
        <v/>
      </c>
      <c r="FT26" s="2" t="str">
        <f>IF(FT$23="","",MINDS!FT$38)</f>
        <v/>
      </c>
      <c r="FU26" s="2" t="str">
        <f>IF(FU$23="","",MINDS!FU$38)</f>
        <v/>
      </c>
      <c r="FV26" s="2" t="str">
        <f>IF(FV$23="","",MINDS!FV$38)</f>
        <v/>
      </c>
      <c r="FW26" s="2" t="str">
        <f>IF(FW$23="","",MINDS!FW$38)</f>
        <v/>
      </c>
      <c r="FX26" s="2" t="str">
        <f>IF(FX$23="","",MINDS!FX$38)</f>
        <v/>
      </c>
      <c r="FY26" s="2" t="str">
        <f>IF(FY$23="","",MINDS!FY$38)</f>
        <v/>
      </c>
      <c r="FZ26" s="2" t="str">
        <f>IF(FZ$23="","",MINDS!FZ$38)</f>
        <v/>
      </c>
      <c r="GA26" s="2" t="str">
        <f>IF(GA$23="","",MINDS!GA$38)</f>
        <v/>
      </c>
      <c r="GB26" s="2" t="str">
        <f>IF(GB$23="","",MINDS!GB$38)</f>
        <v/>
      </c>
      <c r="GC26" s="2" t="str">
        <f>IF(GC$23="","",MINDS!GC$38)</f>
        <v/>
      </c>
      <c r="GD26" s="2" t="str">
        <f>IF(GD$23="","",MINDS!GD$38)</f>
        <v/>
      </c>
      <c r="GE26" s="2" t="str">
        <f>IF(GE$23="","",MINDS!GE$38)</f>
        <v/>
      </c>
      <c r="GF26" s="2" t="str">
        <f>IF(GF$23="","",MINDS!GF$38)</f>
        <v/>
      </c>
      <c r="GG26" s="2" t="str">
        <f>IF(GG$23="","",MINDS!GG$38)</f>
        <v/>
      </c>
      <c r="GH26" s="2" t="str">
        <f>IF(GH$23="","",MINDS!GH$38)</f>
        <v/>
      </c>
      <c r="GI26" s="2" t="str">
        <f>IF(GI$23="","",MINDS!GI$38)</f>
        <v/>
      </c>
      <c r="GJ26" s="2" t="str">
        <f>IF(GJ$23="","",MINDS!GJ$38)</f>
        <v/>
      </c>
      <c r="GK26" s="2" t="str">
        <f>IF(GK$23="","",MINDS!GK$38)</f>
        <v/>
      </c>
      <c r="GL26" s="2" t="str">
        <f>IF(GL$23="","",MINDS!GL$38)</f>
        <v/>
      </c>
      <c r="GM26" s="2" t="str">
        <f>IF(GM$23="","",MINDS!GM$38)</f>
        <v/>
      </c>
      <c r="GN26" s="2" t="str">
        <f>IF(GN$23="","",MINDS!GN$38)</f>
        <v/>
      </c>
      <c r="GO26" s="2" t="str">
        <f>IF(GO$23="","",MINDS!GO$38)</f>
        <v/>
      </c>
      <c r="GP26" s="2" t="str">
        <f>IF(GP$23="","",MINDS!GP$38)</f>
        <v/>
      </c>
      <c r="GQ26" s="2" t="str">
        <f>IF(GQ$23="","",MINDS!GQ$38)</f>
        <v/>
      </c>
      <c r="GR26" s="2" t="str">
        <f>IF(GR$23="","",MINDS!GR$38)</f>
        <v/>
      </c>
      <c r="GS26" s="2" t="str">
        <f>IF(GS$23="","",MINDS!GS$38)</f>
        <v/>
      </c>
      <c r="GT26" s="2" t="str">
        <f>IF(GT$23="","",MINDS!GT$38)</f>
        <v/>
      </c>
      <c r="GU26" s="2" t="str">
        <f>IF(GU$23="","",MINDS!GU$38)</f>
        <v/>
      </c>
      <c r="GV26" s="2" t="str">
        <f>IF(GV$23="","",MINDS!GV$38)</f>
        <v/>
      </c>
      <c r="GW26" s="2" t="str">
        <f>IF(GW$23="","",MINDS!GW$38)</f>
        <v/>
      </c>
      <c r="GX26" s="2" t="str">
        <f>IF(GX$23="","",MINDS!GX$38)</f>
        <v/>
      </c>
      <c r="GY26" s="2" t="str">
        <f>IF(GY$23="","",MINDS!GY$38)</f>
        <v/>
      </c>
      <c r="GZ26" s="2" t="str">
        <f>IF(GZ$23="","",MINDS!GZ$38)</f>
        <v/>
      </c>
      <c r="HA26" s="2" t="str">
        <f>IF(HA$23="","",MINDS!HA$38)</f>
        <v/>
      </c>
      <c r="HB26" s="2" t="str">
        <f>IF(HB$23="","",MINDS!HB$38)</f>
        <v/>
      </c>
      <c r="HC26" s="2" t="str">
        <f>IF(HC$23="","",MINDS!HC$38)</f>
        <v/>
      </c>
      <c r="HD26" s="2" t="str">
        <f>IF(HD$23="","",MINDS!HD$38)</f>
        <v/>
      </c>
      <c r="HE26" s="2" t="str">
        <f>IF(HE$23="","",MINDS!HE$38)</f>
        <v/>
      </c>
      <c r="HF26" s="2" t="str">
        <f>IF(HF$23="","",MINDS!HF$38)</f>
        <v/>
      </c>
      <c r="HG26" s="2" t="str">
        <f>IF(HG$23="","",MINDS!HG$38)</f>
        <v/>
      </c>
      <c r="HH26" s="2" t="str">
        <f>IF(HH$23="","",MINDS!HH$38)</f>
        <v/>
      </c>
      <c r="HI26" s="2" t="str">
        <f>IF(HI$23="","",MINDS!HI$38)</f>
        <v/>
      </c>
      <c r="HJ26" s="2" t="str">
        <f>IF(HJ$23="","",MINDS!HJ$38)</f>
        <v/>
      </c>
      <c r="HK26" s="2" t="str">
        <f>IF(HK$23="","",MINDS!HK$38)</f>
        <v/>
      </c>
      <c r="HL26" s="2" t="str">
        <f>IF(HL$23="","",MINDS!HL$38)</f>
        <v/>
      </c>
      <c r="HM26" s="2" t="str">
        <f>IF(HM$23="","",MINDS!HM$38)</f>
        <v/>
      </c>
      <c r="HN26" s="2" t="str">
        <f>IF(HN$23="","",MINDS!HN$38)</f>
        <v/>
      </c>
      <c r="HO26" s="2" t="str">
        <f>IF(HO$23="","",MINDS!HO$38)</f>
        <v/>
      </c>
      <c r="HP26" s="2" t="str">
        <f>IF(HP$23="","",MINDS!HP$38)</f>
        <v/>
      </c>
      <c r="HQ26" s="2" t="str">
        <f>IF(HQ$23="","",MINDS!HQ$38)</f>
        <v/>
      </c>
      <c r="HR26" s="2" t="str">
        <f>IF(HR$23="","",MINDS!HR$38)</f>
        <v/>
      </c>
      <c r="HS26" s="2" t="str">
        <f>IF(HS$23="","",MINDS!HS$38)</f>
        <v/>
      </c>
      <c r="HT26" s="2" t="str">
        <f>IF(HT$23="","",MINDS!HT$38)</f>
        <v/>
      </c>
      <c r="HU26" s="2" t="str">
        <f>IF(HU$23="","",MINDS!HU$38)</f>
        <v/>
      </c>
      <c r="HV26" s="2" t="str">
        <f>IF(HV$23="","",MINDS!HV$38)</f>
        <v/>
      </c>
      <c r="HW26" s="2" t="str">
        <f>IF(HW$23="","",MINDS!HW$38)</f>
        <v/>
      </c>
      <c r="HX26" s="2" t="str">
        <f>IF(HX$23="","",MINDS!HX$38)</f>
        <v/>
      </c>
      <c r="HY26" s="2" t="str">
        <f>IF(HY$23="","",MINDS!HY$38)</f>
        <v/>
      </c>
      <c r="HZ26" s="2" t="str">
        <f>IF(HZ$23="","",MINDS!HZ$38)</f>
        <v/>
      </c>
      <c r="IA26" s="2" t="str">
        <f>IF(IA$23="","",MINDS!IA$38)</f>
        <v/>
      </c>
      <c r="IB26" s="2" t="str">
        <f>IF(IB$23="","",MINDS!IB$38)</f>
        <v/>
      </c>
      <c r="IC26" s="2" t="str">
        <f>IF(IC$23="","",MINDS!IC$38)</f>
        <v/>
      </c>
      <c r="ID26" s="2" t="str">
        <f>IF(ID$23="","",MINDS!ID$38)</f>
        <v/>
      </c>
      <c r="IE26" s="2" t="str">
        <f>IF(IE$23="","",MINDS!IE$38)</f>
        <v/>
      </c>
      <c r="IF26" s="2" t="str">
        <f>IF(IF$23="","",MINDS!IF$38)</f>
        <v/>
      </c>
      <c r="IG26" s="2" t="str">
        <f>IF(IG$23="","",MINDS!IG$38)</f>
        <v/>
      </c>
      <c r="IH26" s="2" t="str">
        <f>IF(IH$23="","",MINDS!IH$38)</f>
        <v/>
      </c>
      <c r="II26" s="2" t="str">
        <f>IF(II$23="","",MINDS!II$38)</f>
        <v/>
      </c>
      <c r="IJ26" s="2" t="str">
        <f>IF(IJ$23="","",MINDS!IJ$38)</f>
        <v/>
      </c>
      <c r="IK26" s="2" t="str">
        <f>IF(IK$23="","",MINDS!IK$38)</f>
        <v/>
      </c>
      <c r="IL26" s="2" t="str">
        <f>IF(IL$23="","",MINDS!IL$38)</f>
        <v/>
      </c>
      <c r="IM26" s="2" t="str">
        <f>IF(IM$23="","",MINDS!IM$38)</f>
        <v/>
      </c>
      <c r="IN26" s="2" t="str">
        <f>IF(IN$23="","",MINDS!IN$38)</f>
        <v/>
      </c>
      <c r="IO26" s="2" t="str">
        <f>IF(IO$23="","",MINDS!IO$38)</f>
        <v/>
      </c>
      <c r="IP26" s="2" t="str">
        <f>IF(IP$23="","",MINDS!IP$38)</f>
        <v/>
      </c>
      <c r="IQ26" s="2" t="str">
        <f>IF(IQ$23="","",MINDS!IQ$38)</f>
        <v/>
      </c>
      <c r="IR26" s="2" t="str">
        <f>IF(IR$23="","",MINDS!IR$38)</f>
        <v/>
      </c>
      <c r="IS26" s="2" t="str">
        <f>IF(IS$23="","",MINDS!IS$38)</f>
        <v/>
      </c>
      <c r="IT26" s="2" t="str">
        <f>IF(IT$23="","",MINDS!IT$38)</f>
        <v/>
      </c>
      <c r="IU26" s="2" t="str">
        <f>IF(IU$23="","",MINDS!IU$38)</f>
        <v/>
      </c>
      <c r="IV26" s="2" t="str">
        <f>IF(IV$23="","",MINDS!IV$38)</f>
        <v/>
      </c>
    </row>
    <row r="27" spans="1:256" x14ac:dyDescent="0.2">
      <c r="A27" s="3" t="s">
        <v>4</v>
      </c>
      <c r="C27" s="2" t="str">
        <f>IF(C$23="","",MINDS!C$40)</f>
        <v/>
      </c>
      <c r="D27" s="2" t="str">
        <f>IF(D$23="","",MINDS!D$40)</f>
        <v/>
      </c>
      <c r="E27" s="2" t="str">
        <f>IF(E$23="","",MINDS!E$40)</f>
        <v/>
      </c>
      <c r="F27" s="2" t="str">
        <f>IF(F$23="","",MINDS!F$40)</f>
        <v/>
      </c>
      <c r="G27" s="2" t="str">
        <f>IF(G$23="","",MINDS!G$40)</f>
        <v/>
      </c>
      <c r="H27" s="2" t="str">
        <f>IF(H$23="","",MINDS!H$40)</f>
        <v/>
      </c>
      <c r="I27" s="2" t="str">
        <f>IF(I$23="","",MINDS!I$40)</f>
        <v/>
      </c>
      <c r="J27" s="2" t="str">
        <f>IF(J$23="","",MINDS!J$40)</f>
        <v/>
      </c>
      <c r="K27" s="2" t="str">
        <f>IF(K$23="","",MINDS!K$40)</f>
        <v/>
      </c>
      <c r="L27" s="2" t="str">
        <f>IF(L$23="","",MINDS!L$40)</f>
        <v/>
      </c>
      <c r="M27" s="2" t="str">
        <f>IF(M$23="","",MINDS!M$40)</f>
        <v/>
      </c>
      <c r="N27" s="2" t="str">
        <f>IF(N$23="","",MINDS!N$40)</f>
        <v/>
      </c>
      <c r="O27" s="2" t="str">
        <f>IF(O$23="","",MINDS!O$40)</f>
        <v/>
      </c>
      <c r="P27" s="2" t="str">
        <f>IF(P$23="","",MINDS!P$40)</f>
        <v/>
      </c>
      <c r="Q27" s="2" t="str">
        <f>IF(Q$23="","",MINDS!Q$40)</f>
        <v/>
      </c>
      <c r="R27" s="2" t="str">
        <f>IF(R$23="","",MINDS!R$40)</f>
        <v/>
      </c>
      <c r="S27" s="2" t="str">
        <f>IF(S$23="","",MINDS!S$40)</f>
        <v/>
      </c>
      <c r="T27" s="2" t="str">
        <f>IF(T$23="","",MINDS!T$40)</f>
        <v/>
      </c>
      <c r="U27" s="2" t="str">
        <f>IF(U$23="","",MINDS!U$40)</f>
        <v/>
      </c>
      <c r="V27" s="2" t="str">
        <f>IF(V$23="","",MINDS!V$40)</f>
        <v/>
      </c>
      <c r="W27" s="2" t="str">
        <f>IF(W$23="","",MINDS!W$40)</f>
        <v/>
      </c>
      <c r="X27" s="2" t="str">
        <f>IF(X$23="","",MINDS!X$40)</f>
        <v/>
      </c>
      <c r="Y27" s="2" t="str">
        <f>IF(Y$23="","",MINDS!Y$40)</f>
        <v/>
      </c>
      <c r="Z27" s="2" t="str">
        <f>IF(Z$23="","",MINDS!Z$40)</f>
        <v/>
      </c>
      <c r="AA27" s="2" t="str">
        <f>IF(AA$23="","",MINDS!AA$40)</f>
        <v/>
      </c>
      <c r="AB27" s="2" t="str">
        <f>IF(AB$23="","",MINDS!AB$40)</f>
        <v/>
      </c>
      <c r="AC27" s="2" t="str">
        <f>IF(AC$23="","",MINDS!AC$40)</f>
        <v/>
      </c>
      <c r="AD27" s="2" t="str">
        <f>IF(AD$23="","",MINDS!AD$40)</f>
        <v/>
      </c>
      <c r="AE27" s="2" t="str">
        <f>IF(AE$23="","",MINDS!AE$40)</f>
        <v/>
      </c>
      <c r="AF27" s="2" t="str">
        <f>IF(AF$23="","",MINDS!AF$40)</f>
        <v/>
      </c>
      <c r="AG27" s="2" t="str">
        <f>IF(AG$23="","",MINDS!AG$40)</f>
        <v/>
      </c>
      <c r="AH27" s="2" t="str">
        <f>IF(AH$23="","",MINDS!AH$40)</f>
        <v/>
      </c>
      <c r="AI27" s="2" t="str">
        <f>IF(AI$23="","",MINDS!AI$40)</f>
        <v/>
      </c>
      <c r="AJ27" s="2" t="str">
        <f>IF(AJ$23="","",MINDS!AJ$40)</f>
        <v/>
      </c>
      <c r="AK27" s="2" t="str">
        <f>IF(AK$23="","",MINDS!AK$40)</f>
        <v/>
      </c>
      <c r="AL27" s="2" t="str">
        <f>IF(AL$23="","",MINDS!AL$40)</f>
        <v/>
      </c>
      <c r="AM27" s="2" t="str">
        <f>IF(AM$23="","",MINDS!AM$40)</f>
        <v/>
      </c>
      <c r="AN27" s="2" t="str">
        <f>IF(AN$23="","",MINDS!AN$40)</f>
        <v/>
      </c>
      <c r="AO27" s="2" t="str">
        <f>IF(AO$23="","",MINDS!AO$40)</f>
        <v/>
      </c>
      <c r="AP27" s="2" t="str">
        <f>IF(AP$23="","",MINDS!AP$40)</f>
        <v/>
      </c>
      <c r="AQ27" s="2" t="str">
        <f>IF(AQ$23="","",MINDS!AQ$40)</f>
        <v/>
      </c>
      <c r="AR27" s="2" t="str">
        <f>IF(AR$23="","",MINDS!AR$40)</f>
        <v/>
      </c>
      <c r="AS27" s="2" t="str">
        <f>IF(AS$23="","",MINDS!AS$40)</f>
        <v/>
      </c>
      <c r="AT27" s="2" t="str">
        <f>IF(AT$23="","",MINDS!AT$40)</f>
        <v/>
      </c>
      <c r="AU27" s="2" t="str">
        <f>IF(AU$23="","",MINDS!AU$40)</f>
        <v/>
      </c>
      <c r="AV27" s="2" t="str">
        <f>IF(AV$23="","",MINDS!AV$40)</f>
        <v/>
      </c>
      <c r="AW27" s="2" t="str">
        <f>IF(AW$23="","",MINDS!AW$40)</f>
        <v/>
      </c>
      <c r="AX27" s="2" t="str">
        <f>IF(AX$23="","",MINDS!AX$40)</f>
        <v/>
      </c>
      <c r="AY27" s="2" t="str">
        <f>IF(AY$23="","",MINDS!AY$40)</f>
        <v/>
      </c>
      <c r="AZ27" s="2" t="str">
        <f>IF(AZ$23="","",MINDS!AZ$40)</f>
        <v/>
      </c>
      <c r="BA27" s="2" t="str">
        <f>IF(BA$23="","",MINDS!BA$40)</f>
        <v/>
      </c>
      <c r="BB27" s="2" t="str">
        <f>IF(BB$23="","",MINDS!BB$40)</f>
        <v/>
      </c>
      <c r="BC27" s="2" t="str">
        <f>IF(BC$23="","",MINDS!BC$40)</f>
        <v/>
      </c>
      <c r="BD27" s="2" t="str">
        <f>IF(BD$23="","",MINDS!BD$40)</f>
        <v/>
      </c>
      <c r="BE27" s="2" t="str">
        <f>IF(BE$23="","",MINDS!BE$40)</f>
        <v/>
      </c>
      <c r="BF27" s="2" t="str">
        <f>IF(BF$23="","",MINDS!BF$40)</f>
        <v/>
      </c>
      <c r="BG27" s="2" t="str">
        <f>IF(BG$23="","",MINDS!BG$40)</f>
        <v/>
      </c>
      <c r="BH27" s="2" t="str">
        <f>IF(BH$23="","",MINDS!BH$40)</f>
        <v/>
      </c>
      <c r="BI27" s="2" t="str">
        <f>IF(BI$23="","",MINDS!BI$40)</f>
        <v/>
      </c>
      <c r="BJ27" s="2" t="str">
        <f>IF(BJ$23="","",MINDS!BJ$40)</f>
        <v/>
      </c>
      <c r="BK27" s="2" t="str">
        <f>IF(BK$23="","",MINDS!BK$40)</f>
        <v/>
      </c>
      <c r="BL27" s="2" t="str">
        <f>IF(BL$23="","",MINDS!BL$40)</f>
        <v/>
      </c>
      <c r="BM27" s="2" t="str">
        <f>IF(BM$23="","",MINDS!BM$40)</f>
        <v/>
      </c>
      <c r="BN27" s="2" t="str">
        <f>IF(BN$23="","",MINDS!BN$40)</f>
        <v/>
      </c>
      <c r="BO27" s="2" t="str">
        <f>IF(BO$23="","",MINDS!BO$40)</f>
        <v/>
      </c>
      <c r="BP27" s="2" t="str">
        <f>IF(BP$23="","",MINDS!BP$40)</f>
        <v/>
      </c>
      <c r="BQ27" s="2" t="str">
        <f>IF(BQ$23="","",MINDS!BQ$40)</f>
        <v/>
      </c>
      <c r="BR27" s="2" t="str">
        <f>IF(BR$23="","",MINDS!BR$40)</f>
        <v/>
      </c>
      <c r="BS27" s="2" t="str">
        <f>IF(BS$23="","",MINDS!BS$40)</f>
        <v/>
      </c>
      <c r="BT27" s="2" t="str">
        <f>IF(BT$23="","",MINDS!BT$40)</f>
        <v/>
      </c>
      <c r="BU27" s="2" t="str">
        <f>IF(BU$23="","",MINDS!BU$40)</f>
        <v/>
      </c>
      <c r="BV27" s="2" t="str">
        <f>IF(BV$23="","",MINDS!BV$40)</f>
        <v/>
      </c>
      <c r="BW27" s="2" t="str">
        <f>IF(BW$23="","",MINDS!BW$40)</f>
        <v/>
      </c>
      <c r="BX27" s="2" t="str">
        <f>IF(BX$23="","",MINDS!BX$40)</f>
        <v/>
      </c>
      <c r="BY27" s="2" t="str">
        <f>IF(BY$23="","",MINDS!BY$40)</f>
        <v/>
      </c>
      <c r="BZ27" s="2" t="str">
        <f>IF(BZ$23="","",MINDS!BZ$40)</f>
        <v/>
      </c>
      <c r="CA27" s="2" t="str">
        <f>IF(CA$23="","",MINDS!CA$40)</f>
        <v/>
      </c>
      <c r="CB27" s="2" t="str">
        <f>IF(CB$23="","",MINDS!CB$40)</f>
        <v/>
      </c>
      <c r="CC27" s="2" t="str">
        <f>IF(CC$23="","",MINDS!CC$40)</f>
        <v/>
      </c>
      <c r="CD27" s="2" t="str">
        <f>IF(CD$23="","",MINDS!CD$40)</f>
        <v/>
      </c>
      <c r="CE27" s="2" t="str">
        <f>IF(CE$23="","",MINDS!CE$40)</f>
        <v/>
      </c>
      <c r="CF27" s="2" t="str">
        <f>IF(CF$23="","",MINDS!CF$40)</f>
        <v/>
      </c>
      <c r="CG27" s="2" t="str">
        <f>IF(CG$23="","",MINDS!CG$40)</f>
        <v/>
      </c>
      <c r="CH27" s="2" t="str">
        <f>IF(CH$23="","",MINDS!CH$40)</f>
        <v/>
      </c>
      <c r="CI27" s="2" t="str">
        <f>IF(CI$23="","",MINDS!CI$40)</f>
        <v/>
      </c>
      <c r="CJ27" s="2" t="str">
        <f>IF(CJ$23="","",MINDS!CJ$40)</f>
        <v/>
      </c>
      <c r="CK27" s="2" t="str">
        <f>IF(CK$23="","",MINDS!CK$40)</f>
        <v/>
      </c>
      <c r="CL27" s="2" t="str">
        <f>IF(CL$23="","",MINDS!CL$40)</f>
        <v/>
      </c>
      <c r="CM27" s="2" t="str">
        <f>IF(CM$23="","",MINDS!CM$40)</f>
        <v/>
      </c>
      <c r="CN27" s="2" t="str">
        <f>IF(CN$23="","",MINDS!CN$40)</f>
        <v/>
      </c>
      <c r="CO27" s="2" t="str">
        <f>IF(CO$23="","",MINDS!CO$40)</f>
        <v/>
      </c>
      <c r="CP27" s="2" t="str">
        <f>IF(CP$23="","",MINDS!CP$40)</f>
        <v/>
      </c>
      <c r="CQ27" s="2" t="str">
        <f>IF(CQ$23="","",MINDS!CQ$40)</f>
        <v/>
      </c>
      <c r="CR27" s="2" t="str">
        <f>IF(CR$23="","",MINDS!CR$40)</f>
        <v/>
      </c>
      <c r="CS27" s="2" t="str">
        <f>IF(CS$23="","",MINDS!CS$40)</f>
        <v/>
      </c>
      <c r="CT27" s="2" t="str">
        <f>IF(CT$23="","",MINDS!CT$40)</f>
        <v/>
      </c>
      <c r="CU27" s="2" t="str">
        <f>IF(CU$23="","",MINDS!CU$40)</f>
        <v/>
      </c>
      <c r="CV27" s="2" t="str">
        <f>IF(CV$23="","",MINDS!CV$40)</f>
        <v/>
      </c>
      <c r="CW27" s="2" t="str">
        <f>IF(CW$23="","",MINDS!CW$40)</f>
        <v/>
      </c>
      <c r="CX27" s="2" t="str">
        <f>IF(CX$23="","",MINDS!CX$40)</f>
        <v/>
      </c>
      <c r="CY27" s="2" t="str">
        <f>IF(CY$23="","",MINDS!CY$40)</f>
        <v/>
      </c>
      <c r="CZ27" s="2" t="str">
        <f>IF(CZ$23="","",MINDS!CZ$40)</f>
        <v/>
      </c>
      <c r="DA27" s="2" t="str">
        <f>IF(DA$23="","",MINDS!DA$40)</f>
        <v/>
      </c>
      <c r="DB27" s="2" t="str">
        <f>IF(DB$23="","",MINDS!DB$40)</f>
        <v/>
      </c>
      <c r="DC27" s="2" t="str">
        <f>IF(DC$23="","",MINDS!DC$40)</f>
        <v/>
      </c>
      <c r="DD27" s="2" t="str">
        <f>IF(DD$23="","",MINDS!DD$40)</f>
        <v/>
      </c>
      <c r="DE27" s="2" t="str">
        <f>IF(DE$23="","",MINDS!DE$40)</f>
        <v/>
      </c>
      <c r="DF27" s="2" t="str">
        <f>IF(DF$23="","",MINDS!DF$40)</f>
        <v/>
      </c>
      <c r="DG27" s="2" t="str">
        <f>IF(DG$23="","",MINDS!DG$40)</f>
        <v/>
      </c>
      <c r="DH27" s="2" t="str">
        <f>IF(DH$23="","",MINDS!DH$40)</f>
        <v/>
      </c>
      <c r="DI27" s="2" t="str">
        <f>IF(DI$23="","",MINDS!DI$40)</f>
        <v/>
      </c>
      <c r="DJ27" s="2" t="str">
        <f>IF(DJ$23="","",MINDS!DJ$40)</f>
        <v/>
      </c>
      <c r="DK27" s="2" t="str">
        <f>IF(DK$23="","",MINDS!DK$40)</f>
        <v/>
      </c>
      <c r="DL27" s="2" t="str">
        <f>IF(DL$23="","",MINDS!DL$40)</f>
        <v/>
      </c>
      <c r="DM27" s="2" t="str">
        <f>IF(DM$23="","",MINDS!DM$40)</f>
        <v/>
      </c>
      <c r="DN27" s="2" t="str">
        <f>IF(DN$23="","",MINDS!DN$40)</f>
        <v/>
      </c>
      <c r="DO27" s="2" t="str">
        <f>IF(DO$23="","",MINDS!DO$40)</f>
        <v/>
      </c>
      <c r="DP27" s="2" t="str">
        <f>IF(DP$23="","",MINDS!DP$40)</f>
        <v/>
      </c>
      <c r="DQ27" s="2" t="str">
        <f>IF(DQ$23="","",MINDS!DQ$40)</f>
        <v/>
      </c>
      <c r="DR27" s="2" t="str">
        <f>IF(DR$23="","",MINDS!DR$40)</f>
        <v/>
      </c>
      <c r="DS27" s="2" t="str">
        <f>IF(DS$23="","",MINDS!DS$40)</f>
        <v/>
      </c>
      <c r="DT27" s="2" t="str">
        <f>IF(DT$23="","",MINDS!DT$40)</f>
        <v/>
      </c>
      <c r="DU27" s="2" t="str">
        <f>IF(DU$23="","",MINDS!DU$40)</f>
        <v/>
      </c>
      <c r="DV27" s="2" t="str">
        <f>IF(DV$23="","",MINDS!DV$40)</f>
        <v/>
      </c>
      <c r="DW27" s="2" t="str">
        <f>IF(DW$23="","",MINDS!DW$40)</f>
        <v/>
      </c>
      <c r="DX27" s="2" t="str">
        <f>IF(DX$23="","",MINDS!DX$40)</f>
        <v/>
      </c>
      <c r="DY27" s="2" t="str">
        <f>IF(DY$23="","",MINDS!DY$40)</f>
        <v/>
      </c>
      <c r="DZ27" s="2" t="str">
        <f>IF(DZ$23="","",MINDS!DZ$40)</f>
        <v/>
      </c>
      <c r="EA27" s="2" t="str">
        <f>IF(EA$23="","",MINDS!EA$40)</f>
        <v/>
      </c>
      <c r="EB27" s="2" t="str">
        <f>IF(EB$23="","",MINDS!EB$40)</f>
        <v/>
      </c>
      <c r="EC27" s="2" t="str">
        <f>IF(EC$23="","",MINDS!EC$40)</f>
        <v/>
      </c>
      <c r="ED27" s="2" t="str">
        <f>IF(ED$23="","",MINDS!ED$40)</f>
        <v/>
      </c>
      <c r="EE27" s="2" t="str">
        <f>IF(EE$23="","",MINDS!EE$40)</f>
        <v/>
      </c>
      <c r="EF27" s="2" t="str">
        <f>IF(EF$23="","",MINDS!EF$40)</f>
        <v/>
      </c>
      <c r="EG27" s="2" t="str">
        <f>IF(EG$23="","",MINDS!EG$40)</f>
        <v/>
      </c>
      <c r="EH27" s="2" t="str">
        <f>IF(EH$23="","",MINDS!EH$40)</f>
        <v/>
      </c>
      <c r="EI27" s="2" t="str">
        <f>IF(EI$23="","",MINDS!EI$40)</f>
        <v/>
      </c>
      <c r="EJ27" s="2" t="str">
        <f>IF(EJ$23="","",MINDS!EJ$40)</f>
        <v/>
      </c>
      <c r="EK27" s="2" t="str">
        <f>IF(EK$23="","",MINDS!EK$40)</f>
        <v/>
      </c>
      <c r="EL27" s="2" t="str">
        <f>IF(EL$23="","",MINDS!EL$40)</f>
        <v/>
      </c>
      <c r="EM27" s="2" t="str">
        <f>IF(EM$23="","",MINDS!EM$40)</f>
        <v/>
      </c>
      <c r="EN27" s="2" t="str">
        <f>IF(EN$23="","",MINDS!EN$40)</f>
        <v/>
      </c>
      <c r="EO27" s="2" t="str">
        <f>IF(EO$23="","",MINDS!EO$40)</f>
        <v/>
      </c>
      <c r="EP27" s="2" t="str">
        <f>IF(EP$23="","",MINDS!EP$40)</f>
        <v/>
      </c>
      <c r="EQ27" s="2" t="str">
        <f>IF(EQ$23="","",MINDS!EQ$40)</f>
        <v/>
      </c>
      <c r="ER27" s="2" t="str">
        <f>IF(ER$23="","",MINDS!ER$40)</f>
        <v/>
      </c>
      <c r="ES27" s="2" t="str">
        <f>IF(ES$23="","",MINDS!ES$40)</f>
        <v/>
      </c>
      <c r="ET27" s="2" t="str">
        <f>IF(ET$23="","",MINDS!ET$40)</f>
        <v/>
      </c>
      <c r="EU27" s="2" t="str">
        <f>IF(EU$23="","",MINDS!EU$40)</f>
        <v/>
      </c>
      <c r="EV27" s="2" t="str">
        <f>IF(EV$23="","",MINDS!EV$40)</f>
        <v/>
      </c>
      <c r="EW27" s="2" t="str">
        <f>IF(EW$23="","",MINDS!EW$40)</f>
        <v/>
      </c>
      <c r="EX27" s="2" t="str">
        <f>IF(EX$23="","",MINDS!EX$40)</f>
        <v/>
      </c>
      <c r="EY27" s="2" t="str">
        <f>IF(EY$23="","",MINDS!EY$40)</f>
        <v/>
      </c>
      <c r="EZ27" s="2" t="str">
        <f>IF(EZ$23="","",MINDS!EZ$40)</f>
        <v/>
      </c>
      <c r="FA27" s="2" t="str">
        <f>IF(FA$23="","",MINDS!FA$40)</f>
        <v/>
      </c>
      <c r="FB27" s="2" t="str">
        <f>IF(FB$23="","",MINDS!FB$40)</f>
        <v/>
      </c>
      <c r="FC27" s="2" t="str">
        <f>IF(FC$23="","",MINDS!FC$40)</f>
        <v/>
      </c>
      <c r="FD27" s="2" t="str">
        <f>IF(FD$23="","",MINDS!FD$40)</f>
        <v/>
      </c>
      <c r="FE27" s="2" t="str">
        <f>IF(FE$23="","",MINDS!FE$40)</f>
        <v/>
      </c>
      <c r="FF27" s="2" t="str">
        <f>IF(FF$23="","",MINDS!FF$40)</f>
        <v/>
      </c>
      <c r="FG27" s="2" t="str">
        <f>IF(FG$23="","",MINDS!FG$40)</f>
        <v/>
      </c>
      <c r="FH27" s="2" t="str">
        <f>IF(FH$23="","",MINDS!FH$40)</f>
        <v/>
      </c>
      <c r="FI27" s="2" t="str">
        <f>IF(FI$23="","",MINDS!FI$40)</f>
        <v/>
      </c>
      <c r="FJ27" s="2" t="str">
        <f>IF(FJ$23="","",MINDS!FJ$40)</f>
        <v/>
      </c>
      <c r="FK27" s="2" t="str">
        <f>IF(FK$23="","",MINDS!FK$40)</f>
        <v/>
      </c>
      <c r="FL27" s="2" t="str">
        <f>IF(FL$23="","",MINDS!FL$40)</f>
        <v/>
      </c>
      <c r="FM27" s="2" t="str">
        <f>IF(FM$23="","",MINDS!FM$40)</f>
        <v/>
      </c>
      <c r="FN27" s="2" t="str">
        <f>IF(FN$23="","",MINDS!FN$40)</f>
        <v/>
      </c>
      <c r="FO27" s="2" t="str">
        <f>IF(FO$23="","",MINDS!FO$40)</f>
        <v/>
      </c>
      <c r="FP27" s="2" t="str">
        <f>IF(FP$23="","",MINDS!FP$40)</f>
        <v/>
      </c>
      <c r="FQ27" s="2" t="str">
        <f>IF(FQ$23="","",MINDS!FQ$40)</f>
        <v/>
      </c>
      <c r="FR27" s="2" t="str">
        <f>IF(FR$23="","",MINDS!FR$40)</f>
        <v/>
      </c>
      <c r="FS27" s="2" t="str">
        <f>IF(FS$23="","",MINDS!FS$40)</f>
        <v/>
      </c>
      <c r="FT27" s="2" t="str">
        <f>IF(FT$23="","",MINDS!FT$40)</f>
        <v/>
      </c>
      <c r="FU27" s="2" t="str">
        <f>IF(FU$23="","",MINDS!FU$40)</f>
        <v/>
      </c>
      <c r="FV27" s="2" t="str">
        <f>IF(FV$23="","",MINDS!FV$40)</f>
        <v/>
      </c>
      <c r="FW27" s="2" t="str">
        <f>IF(FW$23="","",MINDS!FW$40)</f>
        <v/>
      </c>
      <c r="FX27" s="2" t="str">
        <f>IF(FX$23="","",MINDS!FX$40)</f>
        <v/>
      </c>
      <c r="FY27" s="2" t="str">
        <f>IF(FY$23="","",MINDS!FY$40)</f>
        <v/>
      </c>
      <c r="FZ27" s="2" t="str">
        <f>IF(FZ$23="","",MINDS!FZ$40)</f>
        <v/>
      </c>
      <c r="GA27" s="2" t="str">
        <f>IF(GA$23="","",MINDS!GA$40)</f>
        <v/>
      </c>
      <c r="GB27" s="2" t="str">
        <f>IF(GB$23="","",MINDS!GB$40)</f>
        <v/>
      </c>
      <c r="GC27" s="2" t="str">
        <f>IF(GC$23="","",MINDS!GC$40)</f>
        <v/>
      </c>
      <c r="GD27" s="2" t="str">
        <f>IF(GD$23="","",MINDS!GD$40)</f>
        <v/>
      </c>
      <c r="GE27" s="2" t="str">
        <f>IF(GE$23="","",MINDS!GE$40)</f>
        <v/>
      </c>
      <c r="GF27" s="2" t="str">
        <f>IF(GF$23="","",MINDS!GF$40)</f>
        <v/>
      </c>
      <c r="GG27" s="2" t="str">
        <f>IF(GG$23="","",MINDS!GG$40)</f>
        <v/>
      </c>
      <c r="GH27" s="2" t="str">
        <f>IF(GH$23="","",MINDS!GH$40)</f>
        <v/>
      </c>
      <c r="GI27" s="2" t="str">
        <f>IF(GI$23="","",MINDS!GI$40)</f>
        <v/>
      </c>
      <c r="GJ27" s="2" t="str">
        <f>IF(GJ$23="","",MINDS!GJ$40)</f>
        <v/>
      </c>
      <c r="GK27" s="2" t="str">
        <f>IF(GK$23="","",MINDS!GK$40)</f>
        <v/>
      </c>
      <c r="GL27" s="2" t="str">
        <f>IF(GL$23="","",MINDS!GL$40)</f>
        <v/>
      </c>
      <c r="GM27" s="2" t="str">
        <f>IF(GM$23="","",MINDS!GM$40)</f>
        <v/>
      </c>
      <c r="GN27" s="2" t="str">
        <f>IF(GN$23="","",MINDS!GN$40)</f>
        <v/>
      </c>
      <c r="GO27" s="2" t="str">
        <f>IF(GO$23="","",MINDS!GO$40)</f>
        <v/>
      </c>
      <c r="GP27" s="2" t="str">
        <f>IF(GP$23="","",MINDS!GP$40)</f>
        <v/>
      </c>
      <c r="GQ27" s="2" t="str">
        <f>IF(GQ$23="","",MINDS!GQ$40)</f>
        <v/>
      </c>
      <c r="GR27" s="2" t="str">
        <f>IF(GR$23="","",MINDS!GR$40)</f>
        <v/>
      </c>
      <c r="GS27" s="2" t="str">
        <f>IF(GS$23="","",MINDS!GS$40)</f>
        <v/>
      </c>
      <c r="GT27" s="2" t="str">
        <f>IF(GT$23="","",MINDS!GT$40)</f>
        <v/>
      </c>
      <c r="GU27" s="2" t="str">
        <f>IF(GU$23="","",MINDS!GU$40)</f>
        <v/>
      </c>
      <c r="GV27" s="2" t="str">
        <f>IF(GV$23="","",MINDS!GV$40)</f>
        <v/>
      </c>
      <c r="GW27" s="2" t="str">
        <f>IF(GW$23="","",MINDS!GW$40)</f>
        <v/>
      </c>
      <c r="GX27" s="2" t="str">
        <f>IF(GX$23="","",MINDS!GX$40)</f>
        <v/>
      </c>
      <c r="GY27" s="2" t="str">
        <f>IF(GY$23="","",MINDS!GY$40)</f>
        <v/>
      </c>
      <c r="GZ27" s="2" t="str">
        <f>IF(GZ$23="","",MINDS!GZ$40)</f>
        <v/>
      </c>
      <c r="HA27" s="2" t="str">
        <f>IF(HA$23="","",MINDS!HA$40)</f>
        <v/>
      </c>
      <c r="HB27" s="2" t="str">
        <f>IF(HB$23="","",MINDS!HB$40)</f>
        <v/>
      </c>
      <c r="HC27" s="2" t="str">
        <f>IF(HC$23="","",MINDS!HC$40)</f>
        <v/>
      </c>
      <c r="HD27" s="2" t="str">
        <f>IF(HD$23="","",MINDS!HD$40)</f>
        <v/>
      </c>
      <c r="HE27" s="2" t="str">
        <f>IF(HE$23="","",MINDS!HE$40)</f>
        <v/>
      </c>
      <c r="HF27" s="2" t="str">
        <f>IF(HF$23="","",MINDS!HF$40)</f>
        <v/>
      </c>
      <c r="HG27" s="2" t="str">
        <f>IF(HG$23="","",MINDS!HG$40)</f>
        <v/>
      </c>
      <c r="HH27" s="2" t="str">
        <f>IF(HH$23="","",MINDS!HH$40)</f>
        <v/>
      </c>
      <c r="HI27" s="2" t="str">
        <f>IF(HI$23="","",MINDS!HI$40)</f>
        <v/>
      </c>
      <c r="HJ27" s="2" t="str">
        <f>IF(HJ$23="","",MINDS!HJ$40)</f>
        <v/>
      </c>
      <c r="HK27" s="2" t="str">
        <f>IF(HK$23="","",MINDS!HK$40)</f>
        <v/>
      </c>
      <c r="HL27" s="2" t="str">
        <f>IF(HL$23="","",MINDS!HL$40)</f>
        <v/>
      </c>
      <c r="HM27" s="2" t="str">
        <f>IF(HM$23="","",MINDS!HM$40)</f>
        <v/>
      </c>
      <c r="HN27" s="2" t="str">
        <f>IF(HN$23="","",MINDS!HN$40)</f>
        <v/>
      </c>
      <c r="HO27" s="2" t="str">
        <f>IF(HO$23="","",MINDS!HO$40)</f>
        <v/>
      </c>
      <c r="HP27" s="2" t="str">
        <f>IF(HP$23="","",MINDS!HP$40)</f>
        <v/>
      </c>
      <c r="HQ27" s="2" t="str">
        <f>IF(HQ$23="","",MINDS!HQ$40)</f>
        <v/>
      </c>
      <c r="HR27" s="2" t="str">
        <f>IF(HR$23="","",MINDS!HR$40)</f>
        <v/>
      </c>
      <c r="HS27" s="2" t="str">
        <f>IF(HS$23="","",MINDS!HS$40)</f>
        <v/>
      </c>
      <c r="HT27" s="2" t="str">
        <f>IF(HT$23="","",MINDS!HT$40)</f>
        <v/>
      </c>
      <c r="HU27" s="2" t="str">
        <f>IF(HU$23="","",MINDS!HU$40)</f>
        <v/>
      </c>
      <c r="HV27" s="2" t="str">
        <f>IF(HV$23="","",MINDS!HV$40)</f>
        <v/>
      </c>
      <c r="HW27" s="2" t="str">
        <f>IF(HW$23="","",MINDS!HW$40)</f>
        <v/>
      </c>
      <c r="HX27" s="2" t="str">
        <f>IF(HX$23="","",MINDS!HX$40)</f>
        <v/>
      </c>
      <c r="HY27" s="2" t="str">
        <f>IF(HY$23="","",MINDS!HY$40)</f>
        <v/>
      </c>
      <c r="HZ27" s="2" t="str">
        <f>IF(HZ$23="","",MINDS!HZ$40)</f>
        <v/>
      </c>
      <c r="IA27" s="2" t="str">
        <f>IF(IA$23="","",MINDS!IA$40)</f>
        <v/>
      </c>
      <c r="IB27" s="2" t="str">
        <f>IF(IB$23="","",MINDS!IB$40)</f>
        <v/>
      </c>
      <c r="IC27" s="2" t="str">
        <f>IF(IC$23="","",MINDS!IC$40)</f>
        <v/>
      </c>
      <c r="ID27" s="2" t="str">
        <f>IF(ID$23="","",MINDS!ID$40)</f>
        <v/>
      </c>
      <c r="IE27" s="2" t="str">
        <f>IF(IE$23="","",MINDS!IE$40)</f>
        <v/>
      </c>
      <c r="IF27" s="2" t="str">
        <f>IF(IF$23="","",MINDS!IF$40)</f>
        <v/>
      </c>
      <c r="IG27" s="2" t="str">
        <f>IF(IG$23="","",MINDS!IG$40)</f>
        <v/>
      </c>
      <c r="IH27" s="2" t="str">
        <f>IF(IH$23="","",MINDS!IH$40)</f>
        <v/>
      </c>
      <c r="II27" s="2" t="str">
        <f>IF(II$23="","",MINDS!II$40)</f>
        <v/>
      </c>
      <c r="IJ27" s="2" t="str">
        <f>IF(IJ$23="","",MINDS!IJ$40)</f>
        <v/>
      </c>
      <c r="IK27" s="2" t="str">
        <f>IF(IK$23="","",MINDS!IK$40)</f>
        <v/>
      </c>
      <c r="IL27" s="2" t="str">
        <f>IF(IL$23="","",MINDS!IL$40)</f>
        <v/>
      </c>
      <c r="IM27" s="2" t="str">
        <f>IF(IM$23="","",MINDS!IM$40)</f>
        <v/>
      </c>
      <c r="IN27" s="2" t="str">
        <f>IF(IN$23="","",MINDS!IN$40)</f>
        <v/>
      </c>
      <c r="IO27" s="2" t="str">
        <f>IF(IO$23="","",MINDS!IO$40)</f>
        <v/>
      </c>
      <c r="IP27" s="2" t="str">
        <f>IF(IP$23="","",MINDS!IP$40)</f>
        <v/>
      </c>
      <c r="IQ27" s="2" t="str">
        <f>IF(IQ$23="","",MINDS!IQ$40)</f>
        <v/>
      </c>
      <c r="IR27" s="2" t="str">
        <f>IF(IR$23="","",MINDS!IR$40)</f>
        <v/>
      </c>
      <c r="IS27" s="2" t="str">
        <f>IF(IS$23="","",MINDS!IS$40)</f>
        <v/>
      </c>
      <c r="IT27" s="2" t="str">
        <f>IF(IT$23="","",MINDS!IT$40)</f>
        <v/>
      </c>
      <c r="IU27" s="2" t="str">
        <f>IF(IU$23="","",MINDS!IU$40)</f>
        <v/>
      </c>
      <c r="IV27" s="2" t="str">
        <f>IF(IV$23="","",MINDS!IV$40)</f>
        <v/>
      </c>
    </row>
    <row r="28" spans="1:256" x14ac:dyDescent="0.2">
      <c r="A28" s="3" t="s">
        <v>5</v>
      </c>
      <c r="C28" s="2" t="str">
        <f>IF(C$23="","",MINDS!$C$13)</f>
        <v/>
      </c>
      <c r="D28" s="2" t="str">
        <f>IF(D$23="","",MINDS!$C$13)</f>
        <v/>
      </c>
      <c r="E28" s="2" t="str">
        <f>IF(E$23="","",MINDS!$C$13)</f>
        <v/>
      </c>
      <c r="F28" s="2" t="str">
        <f>IF(F$23="","",MINDS!$C$13)</f>
        <v/>
      </c>
      <c r="G28" s="2" t="str">
        <f>IF(G$23="","",MINDS!$C$13)</f>
        <v/>
      </c>
      <c r="H28" s="2" t="str">
        <f>IF(H$23="","",MINDS!$C$13)</f>
        <v/>
      </c>
      <c r="I28" s="2" t="str">
        <f>IF(I$23="","",MINDS!$C$13)</f>
        <v/>
      </c>
      <c r="J28" s="2" t="str">
        <f>IF(J$23="","",MINDS!$C$13)</f>
        <v/>
      </c>
      <c r="K28" s="2" t="str">
        <f>IF(K$23="","",MINDS!$C$13)</f>
        <v/>
      </c>
      <c r="L28" s="2" t="str">
        <f>IF(L$23="","",MINDS!$C$13)</f>
        <v/>
      </c>
      <c r="M28" s="2" t="str">
        <f>IF(M$23="","",MINDS!$C$13)</f>
        <v/>
      </c>
      <c r="N28" s="2" t="str">
        <f>IF(N$23="","",MINDS!$C$13)</f>
        <v/>
      </c>
      <c r="O28" s="2" t="str">
        <f>IF(O$23="","",MINDS!$C$13)</f>
        <v/>
      </c>
      <c r="P28" s="2" t="str">
        <f>IF(P$23="","",MINDS!$C$13)</f>
        <v/>
      </c>
      <c r="Q28" s="2" t="str">
        <f>IF(Q$23="","",MINDS!$C$13)</f>
        <v/>
      </c>
      <c r="R28" s="2" t="str">
        <f>IF(R$23="","",MINDS!$C$13)</f>
        <v/>
      </c>
      <c r="S28" s="2" t="str">
        <f>IF(S$23="","",MINDS!$C$13)</f>
        <v/>
      </c>
      <c r="T28" s="2" t="str">
        <f>IF(T$23="","",MINDS!$C$13)</f>
        <v/>
      </c>
      <c r="U28" s="2" t="str">
        <f>IF(U$23="","",MINDS!$C$13)</f>
        <v/>
      </c>
      <c r="V28" s="2" t="str">
        <f>IF(V$23="","",MINDS!$C$13)</f>
        <v/>
      </c>
      <c r="W28" s="2" t="str">
        <f>IF(W$23="","",MINDS!$C$13)</f>
        <v/>
      </c>
      <c r="X28" s="2" t="str">
        <f>IF(X$23="","",MINDS!$C$13)</f>
        <v/>
      </c>
      <c r="Y28" s="2" t="str">
        <f>IF(Y$23="","",MINDS!$C$13)</f>
        <v/>
      </c>
      <c r="Z28" s="2" t="str">
        <f>IF(Z$23="","",MINDS!$C$13)</f>
        <v/>
      </c>
      <c r="AA28" s="2" t="str">
        <f>IF(AA$23="","",MINDS!$C$13)</f>
        <v/>
      </c>
      <c r="AB28" s="2" t="str">
        <f>IF(AB$23="","",MINDS!$C$13)</f>
        <v/>
      </c>
      <c r="AC28" s="2" t="str">
        <f>IF(AC$23="","",MINDS!$C$13)</f>
        <v/>
      </c>
      <c r="AD28" s="2" t="str">
        <f>IF(AD$23="","",MINDS!$C$13)</f>
        <v/>
      </c>
      <c r="AE28" s="2" t="str">
        <f>IF(AE$23="","",MINDS!$C$13)</f>
        <v/>
      </c>
      <c r="AF28" s="2" t="str">
        <f>IF(AF$23="","",MINDS!$C$13)</f>
        <v/>
      </c>
      <c r="AG28" s="2" t="str">
        <f>IF(AG$23="","",MINDS!$C$13)</f>
        <v/>
      </c>
      <c r="AH28" s="2" t="str">
        <f>IF(AH$23="","",MINDS!$C$13)</f>
        <v/>
      </c>
      <c r="AI28" s="2" t="str">
        <f>IF(AI$23="","",MINDS!$C$13)</f>
        <v/>
      </c>
      <c r="AJ28" s="2" t="str">
        <f>IF(AJ$23="","",MINDS!$C$13)</f>
        <v/>
      </c>
      <c r="AK28" s="2" t="str">
        <f>IF(AK$23="","",MINDS!$C$13)</f>
        <v/>
      </c>
      <c r="AL28" s="2" t="str">
        <f>IF(AL$23="","",MINDS!$C$13)</f>
        <v/>
      </c>
      <c r="AM28" s="2" t="str">
        <f>IF(AM$23="","",MINDS!$C$13)</f>
        <v/>
      </c>
      <c r="AN28" s="2" t="str">
        <f>IF(AN$23="","",MINDS!$C$13)</f>
        <v/>
      </c>
      <c r="AO28" s="2" t="str">
        <f>IF(AO$23="","",MINDS!$C$13)</f>
        <v/>
      </c>
      <c r="AP28" s="2" t="str">
        <f>IF(AP$23="","",MINDS!$C$13)</f>
        <v/>
      </c>
      <c r="AQ28" s="2" t="str">
        <f>IF(AQ$23="","",MINDS!$C$13)</f>
        <v/>
      </c>
      <c r="AR28" s="2" t="str">
        <f>IF(AR$23="","",MINDS!$C$13)</f>
        <v/>
      </c>
      <c r="AS28" s="2" t="str">
        <f>IF(AS$23="","",MINDS!$C$13)</f>
        <v/>
      </c>
      <c r="AT28" s="2" t="str">
        <f>IF(AT$23="","",MINDS!$C$13)</f>
        <v/>
      </c>
      <c r="AU28" s="2" t="str">
        <f>IF(AU$23="","",MINDS!$C$13)</f>
        <v/>
      </c>
      <c r="AV28" s="2" t="str">
        <f>IF(AV$23="","",MINDS!$C$13)</f>
        <v/>
      </c>
      <c r="AW28" s="2" t="str">
        <f>IF(AW$23="","",MINDS!$C$13)</f>
        <v/>
      </c>
      <c r="AX28" s="2" t="str">
        <f>IF(AX$23="","",MINDS!$C$13)</f>
        <v/>
      </c>
      <c r="AY28" s="2" t="str">
        <f>IF(AY$23="","",MINDS!$C$13)</f>
        <v/>
      </c>
      <c r="AZ28" s="2" t="str">
        <f>IF(AZ$23="","",MINDS!$C$13)</f>
        <v/>
      </c>
      <c r="BA28" s="2" t="str">
        <f>IF(BA$23="","",MINDS!$C$13)</f>
        <v/>
      </c>
      <c r="BB28" s="2" t="str">
        <f>IF(BB$23="","",MINDS!$C$13)</f>
        <v/>
      </c>
      <c r="BC28" s="2" t="str">
        <f>IF(BC$23="","",MINDS!$C$13)</f>
        <v/>
      </c>
      <c r="BD28" s="2" t="str">
        <f>IF(BD$23="","",MINDS!$C$13)</f>
        <v/>
      </c>
      <c r="BE28" s="2" t="str">
        <f>IF(BE$23="","",MINDS!$C$13)</f>
        <v/>
      </c>
      <c r="BF28" s="2" t="str">
        <f>IF(BF$23="","",MINDS!$C$13)</f>
        <v/>
      </c>
      <c r="BG28" s="2" t="str">
        <f>IF(BG$23="","",MINDS!$C$13)</f>
        <v/>
      </c>
      <c r="BH28" s="2" t="str">
        <f>IF(BH$23="","",MINDS!$C$13)</f>
        <v/>
      </c>
      <c r="BI28" s="2" t="str">
        <f>IF(BI$23="","",MINDS!$C$13)</f>
        <v/>
      </c>
      <c r="BJ28" s="2" t="str">
        <f>IF(BJ$23="","",MINDS!$C$13)</f>
        <v/>
      </c>
      <c r="BK28" s="2" t="str">
        <f>IF(BK$23="","",MINDS!$C$13)</f>
        <v/>
      </c>
      <c r="BL28" s="2" t="str">
        <f>IF(BL$23="","",MINDS!$C$13)</f>
        <v/>
      </c>
      <c r="BM28" s="2" t="str">
        <f>IF(BM$23="","",MINDS!$C$13)</f>
        <v/>
      </c>
      <c r="BN28" s="2" t="str">
        <f>IF(BN$23="","",MINDS!$C$13)</f>
        <v/>
      </c>
      <c r="BO28" s="2" t="str">
        <f>IF(BO$23="","",MINDS!$C$13)</f>
        <v/>
      </c>
      <c r="BP28" s="2" t="str">
        <f>IF(BP$23="","",MINDS!$C$13)</f>
        <v/>
      </c>
      <c r="BQ28" s="2" t="str">
        <f>IF(BQ$23="","",MINDS!$C$13)</f>
        <v/>
      </c>
      <c r="BR28" s="2" t="str">
        <f>IF(BR$23="","",MINDS!$C$13)</f>
        <v/>
      </c>
      <c r="BS28" s="2" t="str">
        <f>IF(BS$23="","",MINDS!$C$13)</f>
        <v/>
      </c>
      <c r="BT28" s="2" t="str">
        <f>IF(BT$23="","",MINDS!$C$13)</f>
        <v/>
      </c>
      <c r="BU28" s="2" t="str">
        <f>IF(BU$23="","",MINDS!$C$13)</f>
        <v/>
      </c>
      <c r="BV28" s="2" t="str">
        <f>IF(BV$23="","",MINDS!$C$13)</f>
        <v/>
      </c>
      <c r="BW28" s="2" t="str">
        <f>IF(BW$23="","",MINDS!$C$13)</f>
        <v/>
      </c>
      <c r="BX28" s="2" t="str">
        <f>IF(BX$23="","",MINDS!$C$13)</f>
        <v/>
      </c>
      <c r="BY28" s="2" t="str">
        <f>IF(BY$23="","",MINDS!$C$13)</f>
        <v/>
      </c>
      <c r="BZ28" s="2" t="str">
        <f>IF(BZ$23="","",MINDS!$C$13)</f>
        <v/>
      </c>
      <c r="CA28" s="2" t="str">
        <f>IF(CA$23="","",MINDS!$C$13)</f>
        <v/>
      </c>
      <c r="CB28" s="2" t="str">
        <f>IF(CB$23="","",MINDS!$C$13)</f>
        <v/>
      </c>
      <c r="CC28" s="2" t="str">
        <f>IF(CC$23="","",MINDS!$C$13)</f>
        <v/>
      </c>
      <c r="CD28" s="2" t="str">
        <f>IF(CD$23="","",MINDS!$C$13)</f>
        <v/>
      </c>
      <c r="CE28" s="2" t="str">
        <f>IF(CE$23="","",MINDS!$C$13)</f>
        <v/>
      </c>
      <c r="CF28" s="2" t="str">
        <f>IF(CF$23="","",MINDS!$C$13)</f>
        <v/>
      </c>
      <c r="CG28" s="2" t="str">
        <f>IF(CG$23="","",MINDS!$C$13)</f>
        <v/>
      </c>
      <c r="CH28" s="2" t="str">
        <f>IF(CH$23="","",MINDS!$C$13)</f>
        <v/>
      </c>
      <c r="CI28" s="2" t="str">
        <f>IF(CI$23="","",MINDS!$C$13)</f>
        <v/>
      </c>
      <c r="CJ28" s="2" t="str">
        <f>IF(CJ$23="","",MINDS!$C$13)</f>
        <v/>
      </c>
      <c r="CK28" s="2" t="str">
        <f>IF(CK$23="","",MINDS!$C$13)</f>
        <v/>
      </c>
      <c r="CL28" s="2" t="str">
        <f>IF(CL$23="","",MINDS!$C$13)</f>
        <v/>
      </c>
      <c r="CM28" s="2" t="str">
        <f>IF(CM$23="","",MINDS!$C$13)</f>
        <v/>
      </c>
      <c r="CN28" s="2" t="str">
        <f>IF(CN$23="","",MINDS!$C$13)</f>
        <v/>
      </c>
      <c r="CO28" s="2" t="str">
        <f>IF(CO$23="","",MINDS!$C$13)</f>
        <v/>
      </c>
      <c r="CP28" s="2" t="str">
        <f>IF(CP$23="","",MINDS!$C$13)</f>
        <v/>
      </c>
      <c r="CQ28" s="2" t="str">
        <f>IF(CQ$23="","",MINDS!$C$13)</f>
        <v/>
      </c>
      <c r="CR28" s="2" t="str">
        <f>IF(CR$23="","",MINDS!$C$13)</f>
        <v/>
      </c>
      <c r="CS28" s="2" t="str">
        <f>IF(CS$23="","",MINDS!$C$13)</f>
        <v/>
      </c>
      <c r="CT28" s="2" t="str">
        <f>IF(CT$23="","",MINDS!$C$13)</f>
        <v/>
      </c>
      <c r="CU28" s="2" t="str">
        <f>IF(CU$23="","",MINDS!$C$13)</f>
        <v/>
      </c>
      <c r="CV28" s="2" t="str">
        <f>IF(CV$23="","",MINDS!$C$13)</f>
        <v/>
      </c>
      <c r="CW28" s="2" t="str">
        <f>IF(CW$23="","",MINDS!$C$13)</f>
        <v/>
      </c>
      <c r="CX28" s="2" t="str">
        <f>IF(CX$23="","",MINDS!$C$13)</f>
        <v/>
      </c>
      <c r="CY28" s="2" t="str">
        <f>IF(CY$23="","",MINDS!$C$13)</f>
        <v/>
      </c>
      <c r="CZ28" s="2" t="str">
        <f>IF(CZ$23="","",MINDS!$C$13)</f>
        <v/>
      </c>
      <c r="DA28" s="2" t="str">
        <f>IF(DA$23="","",MINDS!$C$13)</f>
        <v/>
      </c>
      <c r="DB28" s="2" t="str">
        <f>IF(DB$23="","",MINDS!$C$13)</f>
        <v/>
      </c>
      <c r="DC28" s="2" t="str">
        <f>IF(DC$23="","",MINDS!$C$13)</f>
        <v/>
      </c>
      <c r="DD28" s="2" t="str">
        <f>IF(DD$23="","",MINDS!$C$13)</f>
        <v/>
      </c>
      <c r="DE28" s="2" t="str">
        <f>IF(DE$23="","",MINDS!$C$13)</f>
        <v/>
      </c>
      <c r="DF28" s="2" t="str">
        <f>IF(DF$23="","",MINDS!$C$13)</f>
        <v/>
      </c>
      <c r="DG28" s="2" t="str">
        <f>IF(DG$23="","",MINDS!$C$13)</f>
        <v/>
      </c>
      <c r="DH28" s="2" t="str">
        <f>IF(DH$23="","",MINDS!$C$13)</f>
        <v/>
      </c>
      <c r="DI28" s="2" t="str">
        <f>IF(DI$23="","",MINDS!$C$13)</f>
        <v/>
      </c>
      <c r="DJ28" s="2" t="str">
        <f>IF(DJ$23="","",MINDS!$C$13)</f>
        <v/>
      </c>
      <c r="DK28" s="2" t="str">
        <f>IF(DK$23="","",MINDS!$C$13)</f>
        <v/>
      </c>
      <c r="DL28" s="2" t="str">
        <f>IF(DL$23="","",MINDS!$C$13)</f>
        <v/>
      </c>
      <c r="DM28" s="2" t="str">
        <f>IF(DM$23="","",MINDS!$C$13)</f>
        <v/>
      </c>
      <c r="DN28" s="2" t="str">
        <f>IF(DN$23="","",MINDS!$C$13)</f>
        <v/>
      </c>
      <c r="DO28" s="2" t="str">
        <f>IF(DO$23="","",MINDS!$C$13)</f>
        <v/>
      </c>
      <c r="DP28" s="2" t="str">
        <f>IF(DP$23="","",MINDS!$C$13)</f>
        <v/>
      </c>
      <c r="DQ28" s="2" t="str">
        <f>IF(DQ$23="","",MINDS!$C$13)</f>
        <v/>
      </c>
      <c r="DR28" s="2" t="str">
        <f>IF(DR$23="","",MINDS!$C$13)</f>
        <v/>
      </c>
      <c r="DS28" s="2" t="str">
        <f>IF(DS$23="","",MINDS!$C$13)</f>
        <v/>
      </c>
      <c r="DT28" s="2" t="str">
        <f>IF(DT$23="","",MINDS!$C$13)</f>
        <v/>
      </c>
      <c r="DU28" s="2" t="str">
        <f>IF(DU$23="","",MINDS!$C$13)</f>
        <v/>
      </c>
      <c r="DV28" s="2" t="str">
        <f>IF(DV$23="","",MINDS!$C$13)</f>
        <v/>
      </c>
      <c r="DW28" s="2" t="str">
        <f>IF(DW$23="","",MINDS!$C$13)</f>
        <v/>
      </c>
      <c r="DX28" s="2" t="str">
        <f>IF(DX$23="","",MINDS!$C$13)</f>
        <v/>
      </c>
      <c r="DY28" s="2" t="str">
        <f>IF(DY$23="","",MINDS!$C$13)</f>
        <v/>
      </c>
      <c r="DZ28" s="2" t="str">
        <f>IF(DZ$23="","",MINDS!$C$13)</f>
        <v/>
      </c>
      <c r="EA28" s="2" t="str">
        <f>IF(EA$23="","",MINDS!$C$13)</f>
        <v/>
      </c>
      <c r="EB28" s="2" t="str">
        <f>IF(EB$23="","",MINDS!$C$13)</f>
        <v/>
      </c>
      <c r="EC28" s="2" t="str">
        <f>IF(EC$23="","",MINDS!$C$13)</f>
        <v/>
      </c>
      <c r="ED28" s="2" t="str">
        <f>IF(ED$23="","",MINDS!$C$13)</f>
        <v/>
      </c>
      <c r="EE28" s="2" t="str">
        <f>IF(EE$23="","",MINDS!$C$13)</f>
        <v/>
      </c>
      <c r="EF28" s="2" t="str">
        <f>IF(EF$23="","",MINDS!$C$13)</f>
        <v/>
      </c>
      <c r="EG28" s="2" t="str">
        <f>IF(EG$23="","",MINDS!$C$13)</f>
        <v/>
      </c>
      <c r="EH28" s="2" t="str">
        <f>IF(EH$23="","",MINDS!$C$13)</f>
        <v/>
      </c>
      <c r="EI28" s="2" t="str">
        <f>IF(EI$23="","",MINDS!$C$13)</f>
        <v/>
      </c>
      <c r="EJ28" s="2" t="str">
        <f>IF(EJ$23="","",MINDS!$C$13)</f>
        <v/>
      </c>
      <c r="EK28" s="2" t="str">
        <f>IF(EK$23="","",MINDS!$C$13)</f>
        <v/>
      </c>
      <c r="EL28" s="2" t="str">
        <f>IF(EL$23="","",MINDS!$C$13)</f>
        <v/>
      </c>
      <c r="EM28" s="2" t="str">
        <f>IF(EM$23="","",MINDS!$C$13)</f>
        <v/>
      </c>
      <c r="EN28" s="2" t="str">
        <f>IF(EN$23="","",MINDS!$C$13)</f>
        <v/>
      </c>
      <c r="EO28" s="2" t="str">
        <f>IF(EO$23="","",MINDS!$C$13)</f>
        <v/>
      </c>
      <c r="EP28" s="2" t="str">
        <f>IF(EP$23="","",MINDS!$C$13)</f>
        <v/>
      </c>
      <c r="EQ28" s="2" t="str">
        <f>IF(EQ$23="","",MINDS!$C$13)</f>
        <v/>
      </c>
      <c r="ER28" s="2" t="str">
        <f>IF(ER$23="","",MINDS!$C$13)</f>
        <v/>
      </c>
      <c r="ES28" s="2" t="str">
        <f>IF(ES$23="","",MINDS!$C$13)</f>
        <v/>
      </c>
      <c r="ET28" s="2" t="str">
        <f>IF(ET$23="","",MINDS!$C$13)</f>
        <v/>
      </c>
      <c r="EU28" s="2" t="str">
        <f>IF(EU$23="","",MINDS!$C$13)</f>
        <v/>
      </c>
      <c r="EV28" s="2" t="str">
        <f>IF(EV$23="","",MINDS!$C$13)</f>
        <v/>
      </c>
      <c r="EW28" s="2" t="str">
        <f>IF(EW$23="","",MINDS!$C$13)</f>
        <v/>
      </c>
      <c r="EX28" s="2" t="str">
        <f>IF(EX$23="","",MINDS!$C$13)</f>
        <v/>
      </c>
      <c r="EY28" s="2" t="str">
        <f>IF(EY$23="","",MINDS!$C$13)</f>
        <v/>
      </c>
      <c r="EZ28" s="2" t="str">
        <f>IF(EZ$23="","",MINDS!$C$13)</f>
        <v/>
      </c>
      <c r="FA28" s="2" t="str">
        <f>IF(FA$23="","",MINDS!$C$13)</f>
        <v/>
      </c>
      <c r="FB28" s="2" t="str">
        <f>IF(FB$23="","",MINDS!$C$13)</f>
        <v/>
      </c>
      <c r="FC28" s="2" t="str">
        <f>IF(FC$23="","",MINDS!$C$13)</f>
        <v/>
      </c>
      <c r="FD28" s="2" t="str">
        <f>IF(FD$23="","",MINDS!$C$13)</f>
        <v/>
      </c>
      <c r="FE28" s="2" t="str">
        <f>IF(FE$23="","",MINDS!$C$13)</f>
        <v/>
      </c>
      <c r="FF28" s="2" t="str">
        <f>IF(FF$23="","",MINDS!$C$13)</f>
        <v/>
      </c>
      <c r="FG28" s="2" t="str">
        <f>IF(FG$23="","",MINDS!$C$13)</f>
        <v/>
      </c>
      <c r="FH28" s="2" t="str">
        <f>IF(FH$23="","",MINDS!$C$13)</f>
        <v/>
      </c>
      <c r="FI28" s="2" t="str">
        <f>IF(FI$23="","",MINDS!$C$13)</f>
        <v/>
      </c>
      <c r="FJ28" s="2" t="str">
        <f>IF(FJ$23="","",MINDS!$C$13)</f>
        <v/>
      </c>
      <c r="FK28" s="2" t="str">
        <f>IF(FK$23="","",MINDS!$C$13)</f>
        <v/>
      </c>
      <c r="FL28" s="2" t="str">
        <f>IF(FL$23="","",MINDS!$C$13)</f>
        <v/>
      </c>
      <c r="FM28" s="2" t="str">
        <f>IF(FM$23="","",MINDS!$C$13)</f>
        <v/>
      </c>
      <c r="FN28" s="2" t="str">
        <f>IF(FN$23="","",MINDS!$C$13)</f>
        <v/>
      </c>
      <c r="FO28" s="2" t="str">
        <f>IF(FO$23="","",MINDS!$C$13)</f>
        <v/>
      </c>
      <c r="FP28" s="2" t="str">
        <f>IF(FP$23="","",MINDS!$C$13)</f>
        <v/>
      </c>
      <c r="FQ28" s="2" t="str">
        <f>IF(FQ$23="","",MINDS!$C$13)</f>
        <v/>
      </c>
      <c r="FR28" s="2" t="str">
        <f>IF(FR$23="","",MINDS!$C$13)</f>
        <v/>
      </c>
      <c r="FS28" s="2" t="str">
        <f>IF(FS$23="","",MINDS!$C$13)</f>
        <v/>
      </c>
      <c r="FT28" s="2" t="str">
        <f>IF(FT$23="","",MINDS!$C$13)</f>
        <v/>
      </c>
      <c r="FU28" s="2" t="str">
        <f>IF(FU$23="","",MINDS!$C$13)</f>
        <v/>
      </c>
      <c r="FV28" s="2" t="str">
        <f>IF(FV$23="","",MINDS!$C$13)</f>
        <v/>
      </c>
      <c r="FW28" s="2" t="str">
        <f>IF(FW$23="","",MINDS!$C$13)</f>
        <v/>
      </c>
      <c r="FX28" s="2" t="str">
        <f>IF(FX$23="","",MINDS!$C$13)</f>
        <v/>
      </c>
      <c r="FY28" s="2" t="str">
        <f>IF(FY$23="","",MINDS!$C$13)</f>
        <v/>
      </c>
      <c r="FZ28" s="2" t="str">
        <f>IF(FZ$23="","",MINDS!$C$13)</f>
        <v/>
      </c>
      <c r="GA28" s="2" t="str">
        <f>IF(GA$23="","",MINDS!$C$13)</f>
        <v/>
      </c>
      <c r="GB28" s="2" t="str">
        <f>IF(GB$23="","",MINDS!$C$13)</f>
        <v/>
      </c>
      <c r="GC28" s="2" t="str">
        <f>IF(GC$23="","",MINDS!$C$13)</f>
        <v/>
      </c>
      <c r="GD28" s="2" t="str">
        <f>IF(GD$23="","",MINDS!$C$13)</f>
        <v/>
      </c>
      <c r="GE28" s="2" t="str">
        <f>IF(GE$23="","",MINDS!$C$13)</f>
        <v/>
      </c>
      <c r="GF28" s="2" t="str">
        <f>IF(GF$23="","",MINDS!$C$13)</f>
        <v/>
      </c>
      <c r="GG28" s="2" t="str">
        <f>IF(GG$23="","",MINDS!$C$13)</f>
        <v/>
      </c>
      <c r="GH28" s="2" t="str">
        <f>IF(GH$23="","",MINDS!$C$13)</f>
        <v/>
      </c>
      <c r="GI28" s="2" t="str">
        <f>IF(GI$23="","",MINDS!$C$13)</f>
        <v/>
      </c>
      <c r="GJ28" s="2" t="str">
        <f>IF(GJ$23="","",MINDS!$C$13)</f>
        <v/>
      </c>
      <c r="GK28" s="2" t="str">
        <f>IF(GK$23="","",MINDS!$C$13)</f>
        <v/>
      </c>
      <c r="GL28" s="2" t="str">
        <f>IF(GL$23="","",MINDS!$C$13)</f>
        <v/>
      </c>
      <c r="GM28" s="2" t="str">
        <f>IF(GM$23="","",MINDS!$C$13)</f>
        <v/>
      </c>
      <c r="GN28" s="2" t="str">
        <f>IF(GN$23="","",MINDS!$C$13)</f>
        <v/>
      </c>
      <c r="GO28" s="2" t="str">
        <f>IF(GO$23="","",MINDS!$C$13)</f>
        <v/>
      </c>
      <c r="GP28" s="2" t="str">
        <f>IF(GP$23="","",MINDS!$C$13)</f>
        <v/>
      </c>
      <c r="GQ28" s="2" t="str">
        <f>IF(GQ$23="","",MINDS!$C$13)</f>
        <v/>
      </c>
      <c r="GR28" s="2" t="str">
        <f>IF(GR$23="","",MINDS!$C$13)</f>
        <v/>
      </c>
      <c r="GS28" s="2" t="str">
        <f>IF(GS$23="","",MINDS!$C$13)</f>
        <v/>
      </c>
      <c r="GT28" s="2" t="str">
        <f>IF(GT$23="","",MINDS!$C$13)</f>
        <v/>
      </c>
      <c r="GU28" s="2" t="str">
        <f>IF(GU$23="","",MINDS!$C$13)</f>
        <v/>
      </c>
      <c r="GV28" s="2" t="str">
        <f>IF(GV$23="","",MINDS!$C$13)</f>
        <v/>
      </c>
      <c r="GW28" s="2" t="str">
        <f>IF(GW$23="","",MINDS!$C$13)</f>
        <v/>
      </c>
      <c r="GX28" s="2" t="str">
        <f>IF(GX$23="","",MINDS!$C$13)</f>
        <v/>
      </c>
      <c r="GY28" s="2" t="str">
        <f>IF(GY$23="","",MINDS!$C$13)</f>
        <v/>
      </c>
      <c r="GZ28" s="2" t="str">
        <f>IF(GZ$23="","",MINDS!$C$13)</f>
        <v/>
      </c>
      <c r="HA28" s="2" t="str">
        <f>IF(HA$23="","",MINDS!$C$13)</f>
        <v/>
      </c>
      <c r="HB28" s="2" t="str">
        <f>IF(HB$23="","",MINDS!$C$13)</f>
        <v/>
      </c>
      <c r="HC28" s="2" t="str">
        <f>IF(HC$23="","",MINDS!$C$13)</f>
        <v/>
      </c>
      <c r="HD28" s="2" t="str">
        <f>IF(HD$23="","",MINDS!$C$13)</f>
        <v/>
      </c>
      <c r="HE28" s="2" t="str">
        <f>IF(HE$23="","",MINDS!$C$13)</f>
        <v/>
      </c>
      <c r="HF28" s="2" t="str">
        <f>IF(HF$23="","",MINDS!$C$13)</f>
        <v/>
      </c>
      <c r="HG28" s="2" t="str">
        <f>IF(HG$23="","",MINDS!$C$13)</f>
        <v/>
      </c>
      <c r="HH28" s="2" t="str">
        <f>IF(HH$23="","",MINDS!$C$13)</f>
        <v/>
      </c>
      <c r="HI28" s="2" t="str">
        <f>IF(HI$23="","",MINDS!$C$13)</f>
        <v/>
      </c>
      <c r="HJ28" s="2" t="str">
        <f>IF(HJ$23="","",MINDS!$C$13)</f>
        <v/>
      </c>
      <c r="HK28" s="2" t="str">
        <f>IF(HK$23="","",MINDS!$C$13)</f>
        <v/>
      </c>
      <c r="HL28" s="2" t="str">
        <f>IF(HL$23="","",MINDS!$C$13)</f>
        <v/>
      </c>
      <c r="HM28" s="2" t="str">
        <f>IF(HM$23="","",MINDS!$C$13)</f>
        <v/>
      </c>
      <c r="HN28" s="2" t="str">
        <f>IF(HN$23="","",MINDS!$C$13)</f>
        <v/>
      </c>
      <c r="HO28" s="2" t="str">
        <f>IF(HO$23="","",MINDS!$C$13)</f>
        <v/>
      </c>
      <c r="HP28" s="2" t="str">
        <f>IF(HP$23="","",MINDS!$C$13)</f>
        <v/>
      </c>
      <c r="HQ28" s="2" t="str">
        <f>IF(HQ$23="","",MINDS!$C$13)</f>
        <v/>
      </c>
      <c r="HR28" s="2" t="str">
        <f>IF(HR$23="","",MINDS!$C$13)</f>
        <v/>
      </c>
      <c r="HS28" s="2" t="str">
        <f>IF(HS$23="","",MINDS!$C$13)</f>
        <v/>
      </c>
      <c r="HT28" s="2" t="str">
        <f>IF(HT$23="","",MINDS!$C$13)</f>
        <v/>
      </c>
      <c r="HU28" s="2" t="str">
        <f>IF(HU$23="","",MINDS!$C$13)</f>
        <v/>
      </c>
      <c r="HV28" s="2" t="str">
        <f>IF(HV$23="","",MINDS!$C$13)</f>
        <v/>
      </c>
      <c r="HW28" s="2" t="str">
        <f>IF(HW$23="","",MINDS!$C$13)</f>
        <v/>
      </c>
      <c r="HX28" s="2" t="str">
        <f>IF(HX$23="","",MINDS!$C$13)</f>
        <v/>
      </c>
      <c r="HY28" s="2" t="str">
        <f>IF(HY$23="","",MINDS!$C$13)</f>
        <v/>
      </c>
      <c r="HZ28" s="2" t="str">
        <f>IF(HZ$23="","",MINDS!$C$13)</f>
        <v/>
      </c>
      <c r="IA28" s="2" t="str">
        <f>IF(IA$23="","",MINDS!$C$13)</f>
        <v/>
      </c>
      <c r="IB28" s="2" t="str">
        <f>IF(IB$23="","",MINDS!$C$13)</f>
        <v/>
      </c>
      <c r="IC28" s="2" t="str">
        <f>IF(IC$23="","",MINDS!$C$13)</f>
        <v/>
      </c>
      <c r="ID28" s="2" t="str">
        <f>IF(ID$23="","",MINDS!$C$13)</f>
        <v/>
      </c>
      <c r="IE28" s="2" t="str">
        <f>IF(IE$23="","",MINDS!$C$13)</f>
        <v/>
      </c>
      <c r="IF28" s="2" t="str">
        <f>IF(IF$23="","",MINDS!$C$13)</f>
        <v/>
      </c>
      <c r="IG28" s="2" t="str">
        <f>IF(IG$23="","",MINDS!$C$13)</f>
        <v/>
      </c>
      <c r="IH28" s="2" t="str">
        <f>IF(IH$23="","",MINDS!$C$13)</f>
        <v/>
      </c>
      <c r="II28" s="2" t="str">
        <f>IF(II$23="","",MINDS!$C$13)</f>
        <v/>
      </c>
      <c r="IJ28" s="2" t="str">
        <f>IF(IJ$23="","",MINDS!$C$13)</f>
        <v/>
      </c>
      <c r="IK28" s="2" t="str">
        <f>IF(IK$23="","",MINDS!$C$13)</f>
        <v/>
      </c>
      <c r="IL28" s="2" t="str">
        <f>IF(IL$23="","",MINDS!$C$13)</f>
        <v/>
      </c>
      <c r="IM28" s="2" t="str">
        <f>IF(IM$23="","",MINDS!$C$13)</f>
        <v/>
      </c>
      <c r="IN28" s="2" t="str">
        <f>IF(IN$23="","",MINDS!$C$13)</f>
        <v/>
      </c>
      <c r="IO28" s="2" t="str">
        <f>IF(IO$23="","",MINDS!$C$13)</f>
        <v/>
      </c>
      <c r="IP28" s="2" t="str">
        <f>IF(IP$23="","",MINDS!$C$13)</f>
        <v/>
      </c>
      <c r="IQ28" s="2" t="str">
        <f>IF(IQ$23="","",MINDS!$C$13)</f>
        <v/>
      </c>
      <c r="IR28" s="2" t="str">
        <f>IF(IR$23="","",MINDS!$C$13)</f>
        <v/>
      </c>
      <c r="IS28" s="2" t="str">
        <f>IF(IS$23="","",MINDS!$C$13)</f>
        <v/>
      </c>
      <c r="IT28" s="2" t="str">
        <f>IF(IT$23="","",MINDS!$C$13)</f>
        <v/>
      </c>
      <c r="IU28" s="2" t="str">
        <f>IF(IU$23="","",MINDS!$C$13)</f>
        <v/>
      </c>
      <c r="IV28" s="2" t="str">
        <f>IF(IV$23="","",MINDS!$C$13)</f>
        <v/>
      </c>
    </row>
    <row r="29" spans="1:256" x14ac:dyDescent="0.2">
      <c r="A29" s="3" t="s">
        <v>6</v>
      </c>
      <c r="C29" s="2" t="str">
        <f>IF(C$23="","",IF(MINDS!C$41="","",MINDS!C$41))</f>
        <v/>
      </c>
      <c r="D29" s="2" t="str">
        <f>IF(D$23="","",IF(MINDS!D$41="","",MINDS!D$41))</f>
        <v/>
      </c>
      <c r="E29" s="2" t="str">
        <f>IF(E$23="","",IF(MINDS!E$41="","",MINDS!E$41))</f>
        <v/>
      </c>
      <c r="F29" s="2" t="str">
        <f>IF(F$23="","",IF(MINDS!F$41="","",MINDS!F$41))</f>
        <v/>
      </c>
      <c r="G29" s="2" t="str">
        <f>IF(G$23="","",IF(MINDS!G$41="","",MINDS!G$41))</f>
        <v/>
      </c>
      <c r="H29" s="2" t="str">
        <f>IF(H$23="","",IF(MINDS!H$41="","",MINDS!H$41))</f>
        <v/>
      </c>
      <c r="I29" s="2" t="str">
        <f>IF(I$23="","",IF(MINDS!I$41="","",MINDS!I$41))</f>
        <v/>
      </c>
      <c r="J29" s="2" t="str">
        <f>IF(J$23="","",IF(MINDS!J$41="","",MINDS!J$41))</f>
        <v/>
      </c>
      <c r="K29" s="2" t="str">
        <f>IF(K$23="","",IF(MINDS!K$41="","",MINDS!K$41))</f>
        <v/>
      </c>
      <c r="L29" s="2" t="str">
        <f>IF(L$23="","",IF(MINDS!L$41="","",MINDS!L$41))</f>
        <v/>
      </c>
      <c r="M29" s="2" t="str">
        <f>IF(M$23="","",IF(MINDS!M$41="","",MINDS!M$41))</f>
        <v/>
      </c>
      <c r="N29" s="2" t="str">
        <f>IF(N$23="","",IF(MINDS!N$41="","",MINDS!N$41))</f>
        <v/>
      </c>
      <c r="O29" s="2" t="str">
        <f>IF(O$23="","",IF(MINDS!O$41="","",MINDS!O$41))</f>
        <v/>
      </c>
      <c r="P29" s="2" t="str">
        <f>IF(P$23="","",IF(MINDS!P$41="","",MINDS!P$41))</f>
        <v/>
      </c>
      <c r="Q29" s="2" t="str">
        <f>IF(Q$23="","",IF(MINDS!Q$41="","",MINDS!Q$41))</f>
        <v/>
      </c>
      <c r="R29" s="2" t="str">
        <f>IF(R$23="","",IF(MINDS!R$41="","",MINDS!R$41))</f>
        <v/>
      </c>
      <c r="S29" s="2" t="str">
        <f>IF(S$23="","",IF(MINDS!S$41="","",MINDS!S$41))</f>
        <v/>
      </c>
      <c r="T29" s="2" t="str">
        <f>IF(T$23="","",IF(MINDS!T$41="","",MINDS!T$41))</f>
        <v/>
      </c>
      <c r="U29" s="2" t="str">
        <f>IF(U$23="","",IF(MINDS!U$41="","",MINDS!U$41))</f>
        <v/>
      </c>
      <c r="V29" s="2" t="str">
        <f>IF(V$23="","",IF(MINDS!V$41="","",MINDS!V$41))</f>
        <v/>
      </c>
      <c r="W29" s="2" t="str">
        <f>IF(W$23="","",IF(MINDS!W$41="","",MINDS!W$41))</f>
        <v/>
      </c>
      <c r="X29" s="2" t="str">
        <f>IF(X$23="","",IF(MINDS!X$41="","",MINDS!X$41))</f>
        <v/>
      </c>
      <c r="Y29" s="2" t="str">
        <f>IF(Y$23="","",IF(MINDS!Y$41="","",MINDS!Y$41))</f>
        <v/>
      </c>
      <c r="Z29" s="2" t="str">
        <f>IF(Z$23="","",IF(MINDS!Z$41="","",MINDS!Z$41))</f>
        <v/>
      </c>
      <c r="AA29" s="2" t="str">
        <f>IF(AA$23="","",IF(MINDS!AA$41="","",MINDS!AA$41))</f>
        <v/>
      </c>
      <c r="AB29" s="2" t="str">
        <f>IF(AB$23="","",IF(MINDS!AB$41="","",MINDS!AB$41))</f>
        <v/>
      </c>
      <c r="AC29" s="2" t="str">
        <f>IF(AC$23="","",IF(MINDS!AC$41="","",MINDS!AC$41))</f>
        <v/>
      </c>
      <c r="AD29" s="2" t="str">
        <f>IF(AD$23="","",IF(MINDS!AD$41="","",MINDS!AD$41))</f>
        <v/>
      </c>
      <c r="AE29" s="2" t="str">
        <f>IF(AE$23="","",IF(MINDS!AE$41="","",MINDS!AE$41))</f>
        <v/>
      </c>
      <c r="AF29" s="2" t="str">
        <f>IF(AF$23="","",IF(MINDS!AF$41="","",MINDS!AF$41))</f>
        <v/>
      </c>
      <c r="AG29" s="2" t="str">
        <f>IF(AG$23="","",IF(MINDS!AG$41="","",MINDS!AG$41))</f>
        <v/>
      </c>
      <c r="AH29" s="2" t="str">
        <f>IF(AH$23="","",IF(MINDS!AH$41="","",MINDS!AH$41))</f>
        <v/>
      </c>
      <c r="AI29" s="2" t="str">
        <f>IF(AI$23="","",IF(MINDS!AI$41="","",MINDS!AI$41))</f>
        <v/>
      </c>
      <c r="AJ29" s="2" t="str">
        <f>IF(AJ$23="","",IF(MINDS!AJ$41="","",MINDS!AJ$41))</f>
        <v/>
      </c>
      <c r="AK29" s="2" t="str">
        <f>IF(AK$23="","",IF(MINDS!AK$41="","",MINDS!AK$41))</f>
        <v/>
      </c>
      <c r="AL29" s="2" t="str">
        <f>IF(AL$23="","",IF(MINDS!AL$41="","",MINDS!AL$41))</f>
        <v/>
      </c>
      <c r="AM29" s="2" t="str">
        <f>IF(AM$23="","",IF(MINDS!AM$41="","",MINDS!AM$41))</f>
        <v/>
      </c>
      <c r="AN29" s="2" t="str">
        <f>IF(AN$23="","",IF(MINDS!AN$41="","",MINDS!AN$41))</f>
        <v/>
      </c>
      <c r="AO29" s="2" t="str">
        <f>IF(AO$23="","",IF(MINDS!AO$41="","",MINDS!AO$41))</f>
        <v/>
      </c>
      <c r="AP29" s="2" t="str">
        <f>IF(AP$23="","",IF(MINDS!AP$41="","",MINDS!AP$41))</f>
        <v/>
      </c>
      <c r="AQ29" s="2" t="str">
        <f>IF(AQ$23="","",IF(MINDS!AQ$41="","",MINDS!AQ$41))</f>
        <v/>
      </c>
      <c r="AR29" s="2" t="str">
        <f>IF(AR$23="","",IF(MINDS!AR$41="","",MINDS!AR$41))</f>
        <v/>
      </c>
      <c r="AS29" s="2" t="str">
        <f>IF(AS$23="","",IF(MINDS!AS$41="","",MINDS!AS$41))</f>
        <v/>
      </c>
      <c r="AT29" s="2" t="str">
        <f>IF(AT$23="","",IF(MINDS!AT$41="","",MINDS!AT$41))</f>
        <v/>
      </c>
      <c r="AU29" s="2" t="str">
        <f>IF(AU$23="","",IF(MINDS!AU$41="","",MINDS!AU$41))</f>
        <v/>
      </c>
      <c r="AV29" s="2" t="str">
        <f>IF(AV$23="","",IF(MINDS!AV$41="","",MINDS!AV$41))</f>
        <v/>
      </c>
      <c r="AW29" s="2" t="str">
        <f>IF(AW$23="","",IF(MINDS!AW$41="","",MINDS!AW$41))</f>
        <v/>
      </c>
      <c r="AX29" s="2" t="str">
        <f>IF(AX$23="","",IF(MINDS!AX$41="","",MINDS!AX$41))</f>
        <v/>
      </c>
      <c r="AY29" s="2" t="str">
        <f>IF(AY$23="","",IF(MINDS!AY$41="","",MINDS!AY$41))</f>
        <v/>
      </c>
      <c r="AZ29" s="2" t="str">
        <f>IF(AZ$23="","",IF(MINDS!AZ$41="","",MINDS!AZ$41))</f>
        <v/>
      </c>
      <c r="BA29" s="2" t="str">
        <f>IF(BA$23="","",IF(MINDS!BA$41="","",MINDS!BA$41))</f>
        <v/>
      </c>
      <c r="BB29" s="2" t="str">
        <f>IF(BB$23="","",IF(MINDS!BB$41="","",MINDS!BB$41))</f>
        <v/>
      </c>
      <c r="BC29" s="2" t="str">
        <f>IF(BC$23="","",IF(MINDS!BC$41="","",MINDS!BC$41))</f>
        <v/>
      </c>
      <c r="BD29" s="2" t="str">
        <f>IF(BD$23="","",IF(MINDS!BD$41="","",MINDS!BD$41))</f>
        <v/>
      </c>
      <c r="BE29" s="2" t="str">
        <f>IF(BE$23="","",IF(MINDS!BE$41="","",MINDS!BE$41))</f>
        <v/>
      </c>
      <c r="BF29" s="2" t="str">
        <f>IF(BF$23="","",IF(MINDS!BF$41="","",MINDS!BF$41))</f>
        <v/>
      </c>
      <c r="BG29" s="2" t="str">
        <f>IF(BG$23="","",IF(MINDS!BG$41="","",MINDS!BG$41))</f>
        <v/>
      </c>
      <c r="BH29" s="2" t="str">
        <f>IF(BH$23="","",IF(MINDS!BH$41="","",MINDS!BH$41))</f>
        <v/>
      </c>
      <c r="BI29" s="2" t="str">
        <f>IF(BI$23="","",IF(MINDS!BI$41="","",MINDS!BI$41))</f>
        <v/>
      </c>
      <c r="BJ29" s="2" t="str">
        <f>IF(BJ$23="","",IF(MINDS!BJ$41="","",MINDS!BJ$41))</f>
        <v/>
      </c>
      <c r="BK29" s="2" t="str">
        <f>IF(BK$23="","",IF(MINDS!BK$41="","",MINDS!BK$41))</f>
        <v/>
      </c>
      <c r="BL29" s="2" t="str">
        <f>IF(BL$23="","",IF(MINDS!BL$41="","",MINDS!BL$41))</f>
        <v/>
      </c>
      <c r="BM29" s="2" t="str">
        <f>IF(BM$23="","",IF(MINDS!BM$41="","",MINDS!BM$41))</f>
        <v/>
      </c>
      <c r="BN29" s="2" t="str">
        <f>IF(BN$23="","",IF(MINDS!BN$41="","",MINDS!BN$41))</f>
        <v/>
      </c>
      <c r="BO29" s="2" t="str">
        <f>IF(BO$23="","",IF(MINDS!BO$41="","",MINDS!BO$41))</f>
        <v/>
      </c>
      <c r="BP29" s="2" t="str">
        <f>IF(BP$23="","",IF(MINDS!BP$41="","",MINDS!BP$41))</f>
        <v/>
      </c>
      <c r="BQ29" s="2" t="str">
        <f>IF(BQ$23="","",IF(MINDS!BQ$41="","",MINDS!BQ$41))</f>
        <v/>
      </c>
      <c r="BR29" s="2" t="str">
        <f>IF(BR$23="","",IF(MINDS!BR$41="","",MINDS!BR$41))</f>
        <v/>
      </c>
      <c r="BS29" s="2" t="str">
        <f>IF(BS$23="","",IF(MINDS!BS$41="","",MINDS!BS$41))</f>
        <v/>
      </c>
      <c r="BT29" s="2" t="str">
        <f>IF(BT$23="","",IF(MINDS!BT$41="","",MINDS!BT$41))</f>
        <v/>
      </c>
      <c r="BU29" s="2" t="str">
        <f>IF(BU$23="","",IF(MINDS!BU$41="","",MINDS!BU$41))</f>
        <v/>
      </c>
      <c r="BV29" s="2" t="str">
        <f>IF(BV$23="","",IF(MINDS!BV$41="","",MINDS!BV$41))</f>
        <v/>
      </c>
      <c r="BW29" s="2" t="str">
        <f>IF(BW$23="","",IF(MINDS!BW$41="","",MINDS!BW$41))</f>
        <v/>
      </c>
      <c r="BX29" s="2" t="str">
        <f>IF(BX$23="","",IF(MINDS!BX$41="","",MINDS!BX$41))</f>
        <v/>
      </c>
      <c r="BY29" s="2" t="str">
        <f>IF(BY$23="","",IF(MINDS!BY$41="","",MINDS!BY$41))</f>
        <v/>
      </c>
      <c r="BZ29" s="2" t="str">
        <f>IF(BZ$23="","",IF(MINDS!BZ$41="","",MINDS!BZ$41))</f>
        <v/>
      </c>
      <c r="CA29" s="2" t="str">
        <f>IF(CA$23="","",IF(MINDS!CA$41="","",MINDS!CA$41))</f>
        <v/>
      </c>
      <c r="CB29" s="2" t="str">
        <f>IF(CB$23="","",IF(MINDS!CB$41="","",MINDS!CB$41))</f>
        <v/>
      </c>
      <c r="CC29" s="2" t="str">
        <f>IF(CC$23="","",IF(MINDS!CC$41="","",MINDS!CC$41))</f>
        <v/>
      </c>
      <c r="CD29" s="2" t="str">
        <f>IF(CD$23="","",IF(MINDS!CD$41="","",MINDS!CD$41))</f>
        <v/>
      </c>
      <c r="CE29" s="2" t="str">
        <f>IF(CE$23="","",IF(MINDS!CE$41="","",MINDS!CE$41))</f>
        <v/>
      </c>
      <c r="CF29" s="2" t="str">
        <f>IF(CF$23="","",IF(MINDS!CF$41="","",MINDS!CF$41))</f>
        <v/>
      </c>
      <c r="CG29" s="2" t="str">
        <f>IF(CG$23="","",IF(MINDS!CG$41="","",MINDS!CG$41))</f>
        <v/>
      </c>
      <c r="CH29" s="2" t="str">
        <f>IF(CH$23="","",IF(MINDS!CH$41="","",MINDS!CH$41))</f>
        <v/>
      </c>
      <c r="CI29" s="2" t="str">
        <f>IF(CI$23="","",IF(MINDS!CI$41="","",MINDS!CI$41))</f>
        <v/>
      </c>
      <c r="CJ29" s="2" t="str">
        <f>IF(CJ$23="","",IF(MINDS!CJ$41="","",MINDS!CJ$41))</f>
        <v/>
      </c>
      <c r="CK29" s="2" t="str">
        <f>IF(CK$23="","",IF(MINDS!CK$41="","",MINDS!CK$41))</f>
        <v/>
      </c>
      <c r="CL29" s="2" t="str">
        <f>IF(CL$23="","",IF(MINDS!CL$41="","",MINDS!CL$41))</f>
        <v/>
      </c>
      <c r="CM29" s="2" t="str">
        <f>IF(CM$23="","",IF(MINDS!CM$41="","",MINDS!CM$41))</f>
        <v/>
      </c>
      <c r="CN29" s="2" t="str">
        <f>IF(CN$23="","",IF(MINDS!CN$41="","",MINDS!CN$41))</f>
        <v/>
      </c>
      <c r="CO29" s="2" t="str">
        <f>IF(CO$23="","",IF(MINDS!CO$41="","",MINDS!CO$41))</f>
        <v/>
      </c>
      <c r="CP29" s="2" t="str">
        <f>IF(CP$23="","",IF(MINDS!CP$41="","",MINDS!CP$41))</f>
        <v/>
      </c>
      <c r="CQ29" s="2" t="str">
        <f>IF(CQ$23="","",IF(MINDS!CQ$41="","",MINDS!CQ$41))</f>
        <v/>
      </c>
      <c r="CR29" s="2" t="str">
        <f>IF(CR$23="","",IF(MINDS!CR$41="","",MINDS!CR$41))</f>
        <v/>
      </c>
      <c r="CS29" s="2" t="str">
        <f>IF(CS$23="","",IF(MINDS!CS$41="","",MINDS!CS$41))</f>
        <v/>
      </c>
      <c r="CT29" s="2" t="str">
        <f>IF(CT$23="","",IF(MINDS!CT$41="","",MINDS!CT$41))</f>
        <v/>
      </c>
      <c r="CU29" s="2" t="str">
        <f>IF(CU$23="","",IF(MINDS!CU$41="","",MINDS!CU$41))</f>
        <v/>
      </c>
      <c r="CV29" s="2" t="str">
        <f>IF(CV$23="","",IF(MINDS!CV$41="","",MINDS!CV$41))</f>
        <v/>
      </c>
      <c r="CW29" s="2" t="str">
        <f>IF(CW$23="","",IF(MINDS!CW$41="","",MINDS!CW$41))</f>
        <v/>
      </c>
      <c r="CX29" s="2" t="str">
        <f>IF(CX$23="","",IF(MINDS!CX$41="","",MINDS!CX$41))</f>
        <v/>
      </c>
      <c r="CY29" s="2" t="str">
        <f>IF(CY$23="","",IF(MINDS!CY$41="","",MINDS!CY$41))</f>
        <v/>
      </c>
      <c r="CZ29" s="2" t="str">
        <f>IF(CZ$23="","",IF(MINDS!CZ$41="","",MINDS!CZ$41))</f>
        <v/>
      </c>
      <c r="DA29" s="2" t="str">
        <f>IF(DA$23="","",IF(MINDS!DA$41="","",MINDS!DA$41))</f>
        <v/>
      </c>
      <c r="DB29" s="2" t="str">
        <f>IF(DB$23="","",IF(MINDS!DB$41="","",MINDS!DB$41))</f>
        <v/>
      </c>
      <c r="DC29" s="2" t="str">
        <f>IF(DC$23="","",IF(MINDS!DC$41="","",MINDS!DC$41))</f>
        <v/>
      </c>
      <c r="DD29" s="2" t="str">
        <f>IF(DD$23="","",IF(MINDS!DD$41="","",MINDS!DD$41))</f>
        <v/>
      </c>
      <c r="DE29" s="2" t="str">
        <f>IF(DE$23="","",IF(MINDS!DE$41="","",MINDS!DE$41))</f>
        <v/>
      </c>
      <c r="DF29" s="2" t="str">
        <f>IF(DF$23="","",IF(MINDS!DF$41="","",MINDS!DF$41))</f>
        <v/>
      </c>
      <c r="DG29" s="2" t="str">
        <f>IF(DG$23="","",IF(MINDS!DG$41="","",MINDS!DG$41))</f>
        <v/>
      </c>
      <c r="DH29" s="2" t="str">
        <f>IF(DH$23="","",IF(MINDS!DH$41="","",MINDS!DH$41))</f>
        <v/>
      </c>
      <c r="DI29" s="2" t="str">
        <f>IF(DI$23="","",IF(MINDS!DI$41="","",MINDS!DI$41))</f>
        <v/>
      </c>
      <c r="DJ29" s="2" t="str">
        <f>IF(DJ$23="","",IF(MINDS!DJ$41="","",MINDS!DJ$41))</f>
        <v/>
      </c>
      <c r="DK29" s="2" t="str">
        <f>IF(DK$23="","",IF(MINDS!DK$41="","",MINDS!DK$41))</f>
        <v/>
      </c>
      <c r="DL29" s="2" t="str">
        <f>IF(DL$23="","",IF(MINDS!DL$41="","",MINDS!DL$41))</f>
        <v/>
      </c>
      <c r="DM29" s="2" t="str">
        <f>IF(DM$23="","",IF(MINDS!DM$41="","",MINDS!DM$41))</f>
        <v/>
      </c>
      <c r="DN29" s="2" t="str">
        <f>IF(DN$23="","",IF(MINDS!DN$41="","",MINDS!DN$41))</f>
        <v/>
      </c>
      <c r="DO29" s="2" t="str">
        <f>IF(DO$23="","",IF(MINDS!DO$41="","",MINDS!DO$41))</f>
        <v/>
      </c>
      <c r="DP29" s="2" t="str">
        <f>IF(DP$23="","",IF(MINDS!DP$41="","",MINDS!DP$41))</f>
        <v/>
      </c>
      <c r="DQ29" s="2" t="str">
        <f>IF(DQ$23="","",IF(MINDS!DQ$41="","",MINDS!DQ$41))</f>
        <v/>
      </c>
      <c r="DR29" s="2" t="str">
        <f>IF(DR$23="","",IF(MINDS!DR$41="","",MINDS!DR$41))</f>
        <v/>
      </c>
      <c r="DS29" s="2" t="str">
        <f>IF(DS$23="","",IF(MINDS!DS$41="","",MINDS!DS$41))</f>
        <v/>
      </c>
      <c r="DT29" s="2" t="str">
        <f>IF(DT$23="","",IF(MINDS!DT$41="","",MINDS!DT$41))</f>
        <v/>
      </c>
      <c r="DU29" s="2" t="str">
        <f>IF(DU$23="","",IF(MINDS!DU$41="","",MINDS!DU$41))</f>
        <v/>
      </c>
      <c r="DV29" s="2" t="str">
        <f>IF(DV$23="","",IF(MINDS!DV$41="","",MINDS!DV$41))</f>
        <v/>
      </c>
      <c r="DW29" s="2" t="str">
        <f>IF(DW$23="","",IF(MINDS!DW$41="","",MINDS!DW$41))</f>
        <v/>
      </c>
      <c r="DX29" s="2" t="str">
        <f>IF(DX$23="","",IF(MINDS!DX$41="","",MINDS!DX$41))</f>
        <v/>
      </c>
      <c r="DY29" s="2" t="str">
        <f>IF(DY$23="","",IF(MINDS!DY$41="","",MINDS!DY$41))</f>
        <v/>
      </c>
      <c r="DZ29" s="2" t="str">
        <f>IF(DZ$23="","",IF(MINDS!DZ$41="","",MINDS!DZ$41))</f>
        <v/>
      </c>
      <c r="EA29" s="2" t="str">
        <f>IF(EA$23="","",IF(MINDS!EA$41="","",MINDS!EA$41))</f>
        <v/>
      </c>
      <c r="EB29" s="2" t="str">
        <f>IF(EB$23="","",IF(MINDS!EB$41="","",MINDS!EB$41))</f>
        <v/>
      </c>
      <c r="EC29" s="2" t="str">
        <f>IF(EC$23="","",IF(MINDS!EC$41="","",MINDS!EC$41))</f>
        <v/>
      </c>
      <c r="ED29" s="2" t="str">
        <f>IF(ED$23="","",IF(MINDS!ED$41="","",MINDS!ED$41))</f>
        <v/>
      </c>
      <c r="EE29" s="2" t="str">
        <f>IF(EE$23="","",IF(MINDS!EE$41="","",MINDS!EE$41))</f>
        <v/>
      </c>
      <c r="EF29" s="2" t="str">
        <f>IF(EF$23="","",IF(MINDS!EF$41="","",MINDS!EF$41))</f>
        <v/>
      </c>
      <c r="EG29" s="2" t="str">
        <f>IF(EG$23="","",IF(MINDS!EG$41="","",MINDS!EG$41))</f>
        <v/>
      </c>
      <c r="EH29" s="2" t="str">
        <f>IF(EH$23="","",IF(MINDS!EH$41="","",MINDS!EH$41))</f>
        <v/>
      </c>
      <c r="EI29" s="2" t="str">
        <f>IF(EI$23="","",IF(MINDS!EI$41="","",MINDS!EI$41))</f>
        <v/>
      </c>
      <c r="EJ29" s="2" t="str">
        <f>IF(EJ$23="","",IF(MINDS!EJ$41="","",MINDS!EJ$41))</f>
        <v/>
      </c>
      <c r="EK29" s="2" t="str">
        <f>IF(EK$23="","",IF(MINDS!EK$41="","",MINDS!EK$41))</f>
        <v/>
      </c>
      <c r="EL29" s="2" t="str">
        <f>IF(EL$23="","",IF(MINDS!EL$41="","",MINDS!EL$41))</f>
        <v/>
      </c>
      <c r="EM29" s="2" t="str">
        <f>IF(EM$23="","",IF(MINDS!EM$41="","",MINDS!EM$41))</f>
        <v/>
      </c>
      <c r="EN29" s="2" t="str">
        <f>IF(EN$23="","",IF(MINDS!EN$41="","",MINDS!EN$41))</f>
        <v/>
      </c>
      <c r="EO29" s="2" t="str">
        <f>IF(EO$23="","",IF(MINDS!EO$41="","",MINDS!EO$41))</f>
        <v/>
      </c>
      <c r="EP29" s="2" t="str">
        <f>IF(EP$23="","",IF(MINDS!EP$41="","",MINDS!EP$41))</f>
        <v/>
      </c>
      <c r="EQ29" s="2" t="str">
        <f>IF(EQ$23="","",IF(MINDS!EQ$41="","",MINDS!EQ$41))</f>
        <v/>
      </c>
      <c r="ER29" s="2" t="str">
        <f>IF(ER$23="","",IF(MINDS!ER$41="","",MINDS!ER$41))</f>
        <v/>
      </c>
      <c r="ES29" s="2" t="str">
        <f>IF(ES$23="","",IF(MINDS!ES$41="","",MINDS!ES$41))</f>
        <v/>
      </c>
      <c r="ET29" s="2" t="str">
        <f>IF(ET$23="","",IF(MINDS!ET$41="","",MINDS!ET$41))</f>
        <v/>
      </c>
      <c r="EU29" s="2" t="str">
        <f>IF(EU$23="","",IF(MINDS!EU$41="","",MINDS!EU$41))</f>
        <v/>
      </c>
      <c r="EV29" s="2" t="str">
        <f>IF(EV$23="","",IF(MINDS!EV$41="","",MINDS!EV$41))</f>
        <v/>
      </c>
      <c r="EW29" s="2" t="str">
        <f>IF(EW$23="","",IF(MINDS!EW$41="","",MINDS!EW$41))</f>
        <v/>
      </c>
      <c r="EX29" s="2" t="str">
        <f>IF(EX$23="","",IF(MINDS!EX$41="","",MINDS!EX$41))</f>
        <v/>
      </c>
      <c r="EY29" s="2" t="str">
        <f>IF(EY$23="","",IF(MINDS!EY$41="","",MINDS!EY$41))</f>
        <v/>
      </c>
      <c r="EZ29" s="2" t="str">
        <f>IF(EZ$23="","",IF(MINDS!EZ$41="","",MINDS!EZ$41))</f>
        <v/>
      </c>
      <c r="FA29" s="2" t="str">
        <f>IF(FA$23="","",IF(MINDS!FA$41="","",MINDS!FA$41))</f>
        <v/>
      </c>
      <c r="FB29" s="2" t="str">
        <f>IF(FB$23="","",IF(MINDS!FB$41="","",MINDS!FB$41))</f>
        <v/>
      </c>
      <c r="FC29" s="2" t="str">
        <f>IF(FC$23="","",IF(MINDS!FC$41="","",MINDS!FC$41))</f>
        <v/>
      </c>
      <c r="FD29" s="2" t="str">
        <f>IF(FD$23="","",IF(MINDS!FD$41="","",MINDS!FD$41))</f>
        <v/>
      </c>
      <c r="FE29" s="2" t="str">
        <f>IF(FE$23="","",IF(MINDS!FE$41="","",MINDS!FE$41))</f>
        <v/>
      </c>
      <c r="FF29" s="2" t="str">
        <f>IF(FF$23="","",IF(MINDS!FF$41="","",MINDS!FF$41))</f>
        <v/>
      </c>
      <c r="FG29" s="2" t="str">
        <f>IF(FG$23="","",IF(MINDS!FG$41="","",MINDS!FG$41))</f>
        <v/>
      </c>
      <c r="FH29" s="2" t="str">
        <f>IF(FH$23="","",IF(MINDS!FH$41="","",MINDS!FH$41))</f>
        <v/>
      </c>
      <c r="FI29" s="2" t="str">
        <f>IF(FI$23="","",IF(MINDS!FI$41="","",MINDS!FI$41))</f>
        <v/>
      </c>
      <c r="FJ29" s="2" t="str">
        <f>IF(FJ$23="","",IF(MINDS!FJ$41="","",MINDS!FJ$41))</f>
        <v/>
      </c>
      <c r="FK29" s="2" t="str">
        <f>IF(FK$23="","",IF(MINDS!FK$41="","",MINDS!FK$41))</f>
        <v/>
      </c>
      <c r="FL29" s="2" t="str">
        <f>IF(FL$23="","",IF(MINDS!FL$41="","",MINDS!FL$41))</f>
        <v/>
      </c>
      <c r="FM29" s="2" t="str">
        <f>IF(FM$23="","",IF(MINDS!FM$41="","",MINDS!FM$41))</f>
        <v/>
      </c>
      <c r="FN29" s="2" t="str">
        <f>IF(FN$23="","",IF(MINDS!FN$41="","",MINDS!FN$41))</f>
        <v/>
      </c>
      <c r="FO29" s="2" t="str">
        <f>IF(FO$23="","",IF(MINDS!FO$41="","",MINDS!FO$41))</f>
        <v/>
      </c>
      <c r="FP29" s="2" t="str">
        <f>IF(FP$23="","",IF(MINDS!FP$41="","",MINDS!FP$41))</f>
        <v/>
      </c>
      <c r="FQ29" s="2" t="str">
        <f>IF(FQ$23="","",IF(MINDS!FQ$41="","",MINDS!FQ$41))</f>
        <v/>
      </c>
      <c r="FR29" s="2" t="str">
        <f>IF(FR$23="","",IF(MINDS!FR$41="","",MINDS!FR$41))</f>
        <v/>
      </c>
      <c r="FS29" s="2" t="str">
        <f>IF(FS$23="","",IF(MINDS!FS$41="","",MINDS!FS$41))</f>
        <v/>
      </c>
      <c r="FT29" s="2" t="str">
        <f>IF(FT$23="","",IF(MINDS!FT$41="","",MINDS!FT$41))</f>
        <v/>
      </c>
      <c r="FU29" s="2" t="str">
        <f>IF(FU$23="","",IF(MINDS!FU$41="","",MINDS!FU$41))</f>
        <v/>
      </c>
      <c r="FV29" s="2" t="str">
        <f>IF(FV$23="","",IF(MINDS!FV$41="","",MINDS!FV$41))</f>
        <v/>
      </c>
      <c r="FW29" s="2" t="str">
        <f>IF(FW$23="","",IF(MINDS!FW$41="","",MINDS!FW$41))</f>
        <v/>
      </c>
      <c r="FX29" s="2" t="str">
        <f>IF(FX$23="","",IF(MINDS!FX$41="","",MINDS!FX$41))</f>
        <v/>
      </c>
      <c r="FY29" s="2" t="str">
        <f>IF(FY$23="","",IF(MINDS!FY$41="","",MINDS!FY$41))</f>
        <v/>
      </c>
      <c r="FZ29" s="2" t="str">
        <f>IF(FZ$23="","",IF(MINDS!FZ$41="","",MINDS!FZ$41))</f>
        <v/>
      </c>
      <c r="GA29" s="2" t="str">
        <f>IF(GA$23="","",IF(MINDS!GA$41="","",MINDS!GA$41))</f>
        <v/>
      </c>
      <c r="GB29" s="2" t="str">
        <f>IF(GB$23="","",IF(MINDS!GB$41="","",MINDS!GB$41))</f>
        <v/>
      </c>
      <c r="GC29" s="2" t="str">
        <f>IF(GC$23="","",IF(MINDS!GC$41="","",MINDS!GC$41))</f>
        <v/>
      </c>
      <c r="GD29" s="2" t="str">
        <f>IF(GD$23="","",IF(MINDS!GD$41="","",MINDS!GD$41))</f>
        <v/>
      </c>
      <c r="GE29" s="2" t="str">
        <f>IF(GE$23="","",IF(MINDS!GE$41="","",MINDS!GE$41))</f>
        <v/>
      </c>
      <c r="GF29" s="2" t="str">
        <f>IF(GF$23="","",IF(MINDS!GF$41="","",MINDS!GF$41))</f>
        <v/>
      </c>
      <c r="GG29" s="2" t="str">
        <f>IF(GG$23="","",IF(MINDS!GG$41="","",MINDS!GG$41))</f>
        <v/>
      </c>
      <c r="GH29" s="2" t="str">
        <f>IF(GH$23="","",IF(MINDS!GH$41="","",MINDS!GH$41))</f>
        <v/>
      </c>
      <c r="GI29" s="2" t="str">
        <f>IF(GI$23="","",IF(MINDS!GI$41="","",MINDS!GI$41))</f>
        <v/>
      </c>
      <c r="GJ29" s="2" t="str">
        <f>IF(GJ$23="","",IF(MINDS!GJ$41="","",MINDS!GJ$41))</f>
        <v/>
      </c>
      <c r="GK29" s="2" t="str">
        <f>IF(GK$23="","",IF(MINDS!GK$41="","",MINDS!GK$41))</f>
        <v/>
      </c>
      <c r="GL29" s="2" t="str">
        <f>IF(GL$23="","",IF(MINDS!GL$41="","",MINDS!GL$41))</f>
        <v/>
      </c>
      <c r="GM29" s="2" t="str">
        <f>IF(GM$23="","",IF(MINDS!GM$41="","",MINDS!GM$41))</f>
        <v/>
      </c>
      <c r="GN29" s="2" t="str">
        <f>IF(GN$23="","",IF(MINDS!GN$41="","",MINDS!GN$41))</f>
        <v/>
      </c>
      <c r="GO29" s="2" t="str">
        <f>IF(GO$23="","",IF(MINDS!GO$41="","",MINDS!GO$41))</f>
        <v/>
      </c>
      <c r="GP29" s="2" t="str">
        <f>IF(GP$23="","",IF(MINDS!GP$41="","",MINDS!GP$41))</f>
        <v/>
      </c>
      <c r="GQ29" s="2" t="str">
        <f>IF(GQ$23="","",IF(MINDS!GQ$41="","",MINDS!GQ$41))</f>
        <v/>
      </c>
      <c r="GR29" s="2" t="str">
        <f>IF(GR$23="","",IF(MINDS!GR$41="","",MINDS!GR$41))</f>
        <v/>
      </c>
      <c r="GS29" s="2" t="str">
        <f>IF(GS$23="","",IF(MINDS!GS$41="","",MINDS!GS$41))</f>
        <v/>
      </c>
      <c r="GT29" s="2" t="str">
        <f>IF(GT$23="","",IF(MINDS!GT$41="","",MINDS!GT$41))</f>
        <v/>
      </c>
      <c r="GU29" s="2" t="str">
        <f>IF(GU$23="","",IF(MINDS!GU$41="","",MINDS!GU$41))</f>
        <v/>
      </c>
      <c r="GV29" s="2" t="str">
        <f>IF(GV$23="","",IF(MINDS!GV$41="","",MINDS!GV$41))</f>
        <v/>
      </c>
      <c r="GW29" s="2" t="str">
        <f>IF(GW$23="","",IF(MINDS!GW$41="","",MINDS!GW$41))</f>
        <v/>
      </c>
      <c r="GX29" s="2" t="str">
        <f>IF(GX$23="","",IF(MINDS!GX$41="","",MINDS!GX$41))</f>
        <v/>
      </c>
      <c r="GY29" s="2" t="str">
        <f>IF(GY$23="","",IF(MINDS!GY$41="","",MINDS!GY$41))</f>
        <v/>
      </c>
      <c r="GZ29" s="2" t="str">
        <f>IF(GZ$23="","",IF(MINDS!GZ$41="","",MINDS!GZ$41))</f>
        <v/>
      </c>
      <c r="HA29" s="2" t="str">
        <f>IF(HA$23="","",IF(MINDS!HA$41="","",MINDS!HA$41))</f>
        <v/>
      </c>
      <c r="HB29" s="2" t="str">
        <f>IF(HB$23="","",IF(MINDS!HB$41="","",MINDS!HB$41))</f>
        <v/>
      </c>
      <c r="HC29" s="2" t="str">
        <f>IF(HC$23="","",IF(MINDS!HC$41="","",MINDS!HC$41))</f>
        <v/>
      </c>
      <c r="HD29" s="2" t="str">
        <f>IF(HD$23="","",IF(MINDS!HD$41="","",MINDS!HD$41))</f>
        <v/>
      </c>
      <c r="HE29" s="2" t="str">
        <f>IF(HE$23="","",IF(MINDS!HE$41="","",MINDS!HE$41))</f>
        <v/>
      </c>
      <c r="HF29" s="2" t="str">
        <f>IF(HF$23="","",IF(MINDS!HF$41="","",MINDS!HF$41))</f>
        <v/>
      </c>
      <c r="HG29" s="2" t="str">
        <f>IF(HG$23="","",IF(MINDS!HG$41="","",MINDS!HG$41))</f>
        <v/>
      </c>
      <c r="HH29" s="2" t="str">
        <f>IF(HH$23="","",IF(MINDS!HH$41="","",MINDS!HH$41))</f>
        <v/>
      </c>
      <c r="HI29" s="2" t="str">
        <f>IF(HI$23="","",IF(MINDS!HI$41="","",MINDS!HI$41))</f>
        <v/>
      </c>
      <c r="HJ29" s="2" t="str">
        <f>IF(HJ$23="","",IF(MINDS!HJ$41="","",MINDS!HJ$41))</f>
        <v/>
      </c>
      <c r="HK29" s="2" t="str">
        <f>IF(HK$23="","",IF(MINDS!HK$41="","",MINDS!HK$41))</f>
        <v/>
      </c>
      <c r="HL29" s="2" t="str">
        <f>IF(HL$23="","",IF(MINDS!HL$41="","",MINDS!HL$41))</f>
        <v/>
      </c>
      <c r="HM29" s="2" t="str">
        <f>IF(HM$23="","",IF(MINDS!HM$41="","",MINDS!HM$41))</f>
        <v/>
      </c>
      <c r="HN29" s="2" t="str">
        <f>IF(HN$23="","",IF(MINDS!HN$41="","",MINDS!HN$41))</f>
        <v/>
      </c>
      <c r="HO29" s="2" t="str">
        <f>IF(HO$23="","",IF(MINDS!HO$41="","",MINDS!HO$41))</f>
        <v/>
      </c>
      <c r="HP29" s="2" t="str">
        <f>IF(HP$23="","",IF(MINDS!HP$41="","",MINDS!HP$41))</f>
        <v/>
      </c>
      <c r="HQ29" s="2" t="str">
        <f>IF(HQ$23="","",IF(MINDS!HQ$41="","",MINDS!HQ$41))</f>
        <v/>
      </c>
      <c r="HR29" s="2" t="str">
        <f>IF(HR$23="","",IF(MINDS!HR$41="","",MINDS!HR$41))</f>
        <v/>
      </c>
      <c r="HS29" s="2" t="str">
        <f>IF(HS$23="","",IF(MINDS!HS$41="","",MINDS!HS$41))</f>
        <v/>
      </c>
      <c r="HT29" s="2" t="str">
        <f>IF(HT$23="","",IF(MINDS!HT$41="","",MINDS!HT$41))</f>
        <v/>
      </c>
      <c r="HU29" s="2" t="str">
        <f>IF(HU$23="","",IF(MINDS!HU$41="","",MINDS!HU$41))</f>
        <v/>
      </c>
      <c r="HV29" s="2" t="str">
        <f>IF(HV$23="","",IF(MINDS!HV$41="","",MINDS!HV$41))</f>
        <v/>
      </c>
      <c r="HW29" s="2" t="str">
        <f>IF(HW$23="","",IF(MINDS!HW$41="","",MINDS!HW$41))</f>
        <v/>
      </c>
      <c r="HX29" s="2" t="str">
        <f>IF(HX$23="","",IF(MINDS!HX$41="","",MINDS!HX$41))</f>
        <v/>
      </c>
      <c r="HY29" s="2" t="str">
        <f>IF(HY$23="","",IF(MINDS!HY$41="","",MINDS!HY$41))</f>
        <v/>
      </c>
      <c r="HZ29" s="2" t="str">
        <f>IF(HZ$23="","",IF(MINDS!HZ$41="","",MINDS!HZ$41))</f>
        <v/>
      </c>
      <c r="IA29" s="2" t="str">
        <f>IF(IA$23="","",IF(MINDS!IA$41="","",MINDS!IA$41))</f>
        <v/>
      </c>
      <c r="IB29" s="2" t="str">
        <f>IF(IB$23="","",IF(MINDS!IB$41="","",MINDS!IB$41))</f>
        <v/>
      </c>
      <c r="IC29" s="2" t="str">
        <f>IF(IC$23="","",IF(MINDS!IC$41="","",MINDS!IC$41))</f>
        <v/>
      </c>
      <c r="ID29" s="2" t="str">
        <f>IF(ID$23="","",IF(MINDS!ID$41="","",MINDS!ID$41))</f>
        <v/>
      </c>
      <c r="IE29" s="2" t="str">
        <f>IF(IE$23="","",IF(MINDS!IE$41="","",MINDS!IE$41))</f>
        <v/>
      </c>
      <c r="IF29" s="2" t="str">
        <f>IF(IF$23="","",IF(MINDS!IF$41="","",MINDS!IF$41))</f>
        <v/>
      </c>
      <c r="IG29" s="2" t="str">
        <f>IF(IG$23="","",IF(MINDS!IG$41="","",MINDS!IG$41))</f>
        <v/>
      </c>
      <c r="IH29" s="2" t="str">
        <f>IF(IH$23="","",IF(MINDS!IH$41="","",MINDS!IH$41))</f>
        <v/>
      </c>
      <c r="II29" s="2" t="str">
        <f>IF(II$23="","",IF(MINDS!II$41="","",MINDS!II$41))</f>
        <v/>
      </c>
      <c r="IJ29" s="2" t="str">
        <f>IF(IJ$23="","",IF(MINDS!IJ$41="","",MINDS!IJ$41))</f>
        <v/>
      </c>
      <c r="IK29" s="2" t="str">
        <f>IF(IK$23="","",IF(MINDS!IK$41="","",MINDS!IK$41))</f>
        <v/>
      </c>
      <c r="IL29" s="2" t="str">
        <f>IF(IL$23="","",IF(MINDS!IL$41="","",MINDS!IL$41))</f>
        <v/>
      </c>
      <c r="IM29" s="2" t="str">
        <f>IF(IM$23="","",IF(MINDS!IM$41="","",MINDS!IM$41))</f>
        <v/>
      </c>
      <c r="IN29" s="2" t="str">
        <f>IF(IN$23="","",IF(MINDS!IN$41="","",MINDS!IN$41))</f>
        <v/>
      </c>
      <c r="IO29" s="2" t="str">
        <f>IF(IO$23="","",IF(MINDS!IO$41="","",MINDS!IO$41))</f>
        <v/>
      </c>
      <c r="IP29" s="2" t="str">
        <f>IF(IP$23="","",IF(MINDS!IP$41="","",MINDS!IP$41))</f>
        <v/>
      </c>
      <c r="IQ29" s="2" t="str">
        <f>IF(IQ$23="","",IF(MINDS!IQ$41="","",MINDS!IQ$41))</f>
        <v/>
      </c>
      <c r="IR29" s="2" t="str">
        <f>IF(IR$23="","",IF(MINDS!IR$41="","",MINDS!IR$41))</f>
        <v/>
      </c>
      <c r="IS29" s="2" t="str">
        <f>IF(IS$23="","",IF(MINDS!IS$41="","",MINDS!IS$41))</f>
        <v/>
      </c>
      <c r="IT29" s="2" t="str">
        <f>IF(IT$23="","",IF(MINDS!IT$41="","",MINDS!IT$41))</f>
        <v/>
      </c>
      <c r="IU29" s="2" t="str">
        <f>IF(IU$23="","",IF(MINDS!IU$41="","",MINDS!IU$41))</f>
        <v/>
      </c>
      <c r="IV29" s="2" t="str">
        <f>IF(IV$23="","",IF(MINDS!IV$41="","",MINDS!IV$41))</f>
        <v/>
      </c>
    </row>
    <row r="30" spans="1:256" x14ac:dyDescent="0.2">
      <c r="A30" s="3"/>
    </row>
    <row r="31" spans="1:256" x14ac:dyDescent="0.2">
      <c r="A31" s="4" t="s">
        <v>0</v>
      </c>
      <c r="B31" s="6" t="e">
        <f>COLUMNS(AnalysisMethodLookup)/2</f>
        <v>#NAME?</v>
      </c>
    </row>
    <row r="32" spans="1:256" x14ac:dyDescent="0.2">
      <c r="A32" s="3" t="str">
        <f>A31&amp;"ID"</f>
        <v>ActivityID</v>
      </c>
      <c r="C32" s="2" t="str">
        <f>IF(ISBLANK(MINDS!C$43),"",MINDS!$C$19&amp;".A.a."&amp;MINDS!C$43)</f>
        <v/>
      </c>
      <c r="D32" s="2" t="str">
        <f>IF(ISBLANK(MINDS!D$43),"",MINDS!$C$19&amp;".A.a."&amp;MINDS!D$43)</f>
        <v/>
      </c>
      <c r="E32" s="2" t="str">
        <f>IF(ISBLANK(MINDS!E$43),"",MINDS!$C$19&amp;".A.a."&amp;MINDS!E$43)</f>
        <v/>
      </c>
      <c r="F32" s="2" t="str">
        <f>IF(ISBLANK(MINDS!F$43),"",MINDS!$C$19&amp;".A.a."&amp;MINDS!F$43)</f>
        <v/>
      </c>
      <c r="G32" s="2" t="str">
        <f>IF(ISBLANK(MINDS!G$43),"",MINDS!$C$19&amp;".A.a."&amp;MINDS!G$43)</f>
        <v/>
      </c>
      <c r="H32" s="2" t="str">
        <f>IF(ISBLANK(MINDS!H$43),"",MINDS!$C$19&amp;".A.a."&amp;MINDS!H$43)</f>
        <v/>
      </c>
      <c r="I32" s="2" t="str">
        <f>IF(ISBLANK(MINDS!I$43),"",MINDS!$C$19&amp;".A.a."&amp;MINDS!I$43)</f>
        <v/>
      </c>
      <c r="J32" s="2" t="str">
        <f>IF(ISBLANK(MINDS!J$43),"",MINDS!$C$19&amp;".A.a."&amp;MINDS!J$43)</f>
        <v/>
      </c>
      <c r="K32" s="2" t="str">
        <f>IF(ISBLANK(MINDS!K$43),"",MINDS!$C$19&amp;".A.a."&amp;MINDS!K$43)</f>
        <v/>
      </c>
      <c r="L32" s="2" t="str">
        <f>IF(ISBLANK(MINDS!L$43),"",MINDS!$C$19&amp;".A.a."&amp;MINDS!L$43)</f>
        <v/>
      </c>
      <c r="M32" s="2" t="str">
        <f>IF(ISBLANK(MINDS!M$43),"",MINDS!$C$19&amp;".A.a."&amp;MINDS!M$43)</f>
        <v/>
      </c>
      <c r="N32" s="2" t="str">
        <f>IF(ISBLANK(MINDS!N$43),"",MINDS!$C$19&amp;".A.a."&amp;MINDS!N$43)</f>
        <v/>
      </c>
      <c r="O32" s="2" t="str">
        <f>IF(ISBLANK(MINDS!O$43),"",MINDS!$C$19&amp;".A.a."&amp;MINDS!O$43)</f>
        <v/>
      </c>
      <c r="P32" s="2" t="str">
        <f>IF(ISBLANK(MINDS!P$43),"",MINDS!$C$19&amp;".A.a."&amp;MINDS!P$43)</f>
        <v/>
      </c>
      <c r="Q32" s="2" t="str">
        <f>IF(ISBLANK(MINDS!Q$43),"",MINDS!$C$19&amp;".A.a."&amp;MINDS!Q$43)</f>
        <v/>
      </c>
      <c r="R32" s="2" t="str">
        <f>IF(ISBLANK(MINDS!R$43),"",MINDS!$C$19&amp;".A.a."&amp;MINDS!R$43)</f>
        <v/>
      </c>
      <c r="S32" s="2" t="str">
        <f>IF(ISBLANK(MINDS!S$43),"",MINDS!$C$19&amp;".A.a."&amp;MINDS!S$43)</f>
        <v/>
      </c>
      <c r="T32" s="2" t="str">
        <f>IF(ISBLANK(MINDS!T$43),"",MINDS!$C$19&amp;".A.a."&amp;MINDS!T$43)</f>
        <v/>
      </c>
      <c r="U32" s="2" t="str">
        <f>IF(ISBLANK(MINDS!U$43),"",MINDS!$C$19&amp;".A.a."&amp;MINDS!U$43)</f>
        <v/>
      </c>
      <c r="V32" s="2" t="str">
        <f>IF(ISBLANK(MINDS!V$43),"",MINDS!$C$19&amp;".A.a."&amp;MINDS!V$43)</f>
        <v/>
      </c>
      <c r="W32" s="2" t="str">
        <f>IF(ISBLANK(MINDS!W$43),"",MINDS!$C$19&amp;".A.a."&amp;MINDS!W$43)</f>
        <v/>
      </c>
      <c r="X32" s="2" t="str">
        <f>IF(ISBLANK(MINDS!X$43),"",MINDS!$C$19&amp;".A.a."&amp;MINDS!X$43)</f>
        <v/>
      </c>
      <c r="Y32" s="2" t="str">
        <f>IF(ISBLANK(MINDS!Y$43),"",MINDS!$C$19&amp;".A.a."&amp;MINDS!Y$43)</f>
        <v/>
      </c>
      <c r="Z32" s="2" t="str">
        <f>IF(ISBLANK(MINDS!Z$43),"",MINDS!$C$19&amp;".A.a."&amp;MINDS!Z$43)</f>
        <v/>
      </c>
      <c r="AA32" s="2" t="str">
        <f>IF(ISBLANK(MINDS!AA$43),"",MINDS!$C$19&amp;".A.a."&amp;MINDS!AA$43)</f>
        <v/>
      </c>
      <c r="AB32" s="2" t="str">
        <f>IF(ISBLANK(MINDS!AB$43),"",MINDS!$C$19&amp;".A.a."&amp;MINDS!AB$43)</f>
        <v/>
      </c>
      <c r="AC32" s="2" t="str">
        <f>IF(ISBLANK(MINDS!AC$43),"",MINDS!$C$19&amp;".A.a."&amp;MINDS!AC$43)</f>
        <v/>
      </c>
      <c r="AD32" s="2" t="str">
        <f>IF(ISBLANK(MINDS!AD$43),"",MINDS!$C$19&amp;".A.a."&amp;MINDS!AD$43)</f>
        <v/>
      </c>
      <c r="AE32" s="2" t="str">
        <f>IF(ISBLANK(MINDS!AE$43),"",MINDS!$C$19&amp;".A.a."&amp;MINDS!AE$43)</f>
        <v/>
      </c>
      <c r="AF32" s="2" t="str">
        <f>IF(ISBLANK(MINDS!AF$43),"",MINDS!$C$19&amp;".A.a."&amp;MINDS!AF$43)</f>
        <v/>
      </c>
      <c r="AG32" s="2" t="str">
        <f>IF(ISBLANK(MINDS!AG$43),"",MINDS!$C$19&amp;".A.a."&amp;MINDS!AG$43)</f>
        <v/>
      </c>
      <c r="AH32" s="2" t="str">
        <f>IF(ISBLANK(MINDS!AH$43),"",MINDS!$C$19&amp;".A.a."&amp;MINDS!AH$43)</f>
        <v/>
      </c>
      <c r="AI32" s="2" t="str">
        <f>IF(ISBLANK(MINDS!AI$43),"",MINDS!$C$19&amp;".A.a."&amp;MINDS!AI$43)</f>
        <v/>
      </c>
      <c r="AJ32" s="2" t="str">
        <f>IF(ISBLANK(MINDS!AJ$43),"",MINDS!$C$19&amp;".A.a."&amp;MINDS!AJ$43)</f>
        <v/>
      </c>
      <c r="AK32" s="2" t="str">
        <f>IF(ISBLANK(MINDS!AK$43),"",MINDS!$C$19&amp;".A.a."&amp;MINDS!AK$43)</f>
        <v/>
      </c>
      <c r="AL32" s="2" t="str">
        <f>IF(ISBLANK(MINDS!AL$43),"",MINDS!$C$19&amp;".A.a."&amp;MINDS!AL$43)</f>
        <v/>
      </c>
      <c r="AM32" s="2" t="str">
        <f>IF(ISBLANK(MINDS!AM$43),"",MINDS!$C$19&amp;".A.a."&amp;MINDS!AM$43)</f>
        <v/>
      </c>
      <c r="AN32" s="2" t="str">
        <f>IF(ISBLANK(MINDS!AN$43),"",MINDS!$C$19&amp;".A.a."&amp;MINDS!AN$43)</f>
        <v/>
      </c>
      <c r="AO32" s="2" t="str">
        <f>IF(ISBLANK(MINDS!AO$43),"",MINDS!$C$19&amp;".A.a."&amp;MINDS!AO$43)</f>
        <v/>
      </c>
      <c r="AP32" s="2" t="str">
        <f>IF(ISBLANK(MINDS!AP$43),"",MINDS!$C$19&amp;".A.a."&amp;MINDS!AP$43)</f>
        <v/>
      </c>
      <c r="AQ32" s="2" t="str">
        <f>IF(ISBLANK(MINDS!AQ$43),"",MINDS!$C$19&amp;".A.a."&amp;MINDS!AQ$43)</f>
        <v/>
      </c>
      <c r="AR32" s="2" t="str">
        <f>IF(ISBLANK(MINDS!AR$43),"",MINDS!$C$19&amp;".A.a."&amp;MINDS!AR$43)</f>
        <v/>
      </c>
      <c r="AS32" s="2" t="str">
        <f>IF(ISBLANK(MINDS!AS$43),"",MINDS!$C$19&amp;".A.a."&amp;MINDS!AS$43)</f>
        <v/>
      </c>
      <c r="AT32" s="2" t="str">
        <f>IF(ISBLANK(MINDS!AT$43),"",MINDS!$C$19&amp;".A.a."&amp;MINDS!AT$43)</f>
        <v/>
      </c>
      <c r="AU32" s="2" t="str">
        <f>IF(ISBLANK(MINDS!AU$43),"",MINDS!$C$19&amp;".A.a."&amp;MINDS!AU$43)</f>
        <v/>
      </c>
      <c r="AV32" s="2" t="str">
        <f>IF(ISBLANK(MINDS!AV$43),"",MINDS!$C$19&amp;".A.a."&amp;MINDS!AV$43)</f>
        <v/>
      </c>
      <c r="AW32" s="2" t="str">
        <f>IF(ISBLANK(MINDS!AW$43),"",MINDS!$C$19&amp;".A.a."&amp;MINDS!AW$43)</f>
        <v/>
      </c>
      <c r="AX32" s="2" t="str">
        <f>IF(ISBLANK(MINDS!AX$43),"",MINDS!$C$19&amp;".A.a."&amp;MINDS!AX$43)</f>
        <v/>
      </c>
      <c r="AY32" s="2" t="str">
        <f>IF(ISBLANK(MINDS!AY$43),"",MINDS!$C$19&amp;".A.a."&amp;MINDS!AY$43)</f>
        <v/>
      </c>
      <c r="AZ32" s="2" t="str">
        <f>IF(ISBLANK(MINDS!AZ$43),"",MINDS!$C$19&amp;".A.a."&amp;MINDS!AZ$43)</f>
        <v/>
      </c>
      <c r="BA32" s="2" t="str">
        <f>IF(ISBLANK(MINDS!BA$43),"",MINDS!$C$19&amp;".A.a."&amp;MINDS!BA$43)</f>
        <v/>
      </c>
      <c r="BB32" s="2" t="str">
        <f>IF(ISBLANK(MINDS!BB$43),"",MINDS!$C$19&amp;".A.a."&amp;MINDS!BB$43)</f>
        <v/>
      </c>
      <c r="BC32" s="2" t="str">
        <f>IF(ISBLANK(MINDS!BC$43),"",MINDS!$C$19&amp;".A.a."&amp;MINDS!BC$43)</f>
        <v/>
      </c>
      <c r="BD32" s="2" t="str">
        <f>IF(ISBLANK(MINDS!BD$43),"",MINDS!$C$19&amp;".A.a."&amp;MINDS!BD$43)</f>
        <v/>
      </c>
      <c r="BE32" s="2" t="str">
        <f>IF(ISBLANK(MINDS!BE$43),"",MINDS!$C$19&amp;".A.a."&amp;MINDS!BE$43)</f>
        <v/>
      </c>
      <c r="BF32" s="2" t="str">
        <f>IF(ISBLANK(MINDS!BF$43),"",MINDS!$C$19&amp;".A.a."&amp;MINDS!BF$43)</f>
        <v/>
      </c>
      <c r="BG32" s="2" t="str">
        <f>IF(ISBLANK(MINDS!BG$43),"",MINDS!$C$19&amp;".A.a."&amp;MINDS!BG$43)</f>
        <v/>
      </c>
      <c r="BH32" s="2" t="str">
        <f>IF(ISBLANK(MINDS!BH$43),"",MINDS!$C$19&amp;".A.a."&amp;MINDS!BH$43)</f>
        <v/>
      </c>
      <c r="BI32" s="2" t="str">
        <f>IF(ISBLANK(MINDS!BI$43),"",MINDS!$C$19&amp;".A.a."&amp;MINDS!BI$43)</f>
        <v/>
      </c>
      <c r="BJ32" s="2" t="str">
        <f>IF(ISBLANK(MINDS!BJ$43),"",MINDS!$C$19&amp;".A.a."&amp;MINDS!BJ$43)</f>
        <v/>
      </c>
      <c r="BK32" s="2" t="str">
        <f>IF(ISBLANK(MINDS!BK$43),"",MINDS!$C$19&amp;".A.a."&amp;MINDS!BK$43)</f>
        <v/>
      </c>
      <c r="BL32" s="2" t="str">
        <f>IF(ISBLANK(MINDS!BL$43),"",MINDS!$C$19&amp;".A.a."&amp;MINDS!BL$43)</f>
        <v/>
      </c>
      <c r="BM32" s="2" t="str">
        <f>IF(ISBLANK(MINDS!BM$43),"",MINDS!$C$19&amp;".A.a."&amp;MINDS!BM$43)</f>
        <v/>
      </c>
      <c r="BN32" s="2" t="str">
        <f>IF(ISBLANK(MINDS!BN$43),"",MINDS!$C$19&amp;".A.a."&amp;MINDS!BN$43)</f>
        <v/>
      </c>
      <c r="BO32" s="2" t="str">
        <f>IF(ISBLANK(MINDS!BO$43),"",MINDS!$C$19&amp;".A.a."&amp;MINDS!BO$43)</f>
        <v/>
      </c>
      <c r="BP32" s="2" t="str">
        <f>IF(ISBLANK(MINDS!BP$43),"",MINDS!$C$19&amp;".A.a."&amp;MINDS!BP$43)</f>
        <v/>
      </c>
      <c r="BQ32" s="2" t="str">
        <f>IF(ISBLANK(MINDS!BQ$43),"",MINDS!$C$19&amp;".A.a."&amp;MINDS!BQ$43)</f>
        <v/>
      </c>
      <c r="BR32" s="2" t="str">
        <f>IF(ISBLANK(MINDS!BR$43),"",MINDS!$C$19&amp;".A.a."&amp;MINDS!BR$43)</f>
        <v/>
      </c>
      <c r="BS32" s="2" t="str">
        <f>IF(ISBLANK(MINDS!BS$43),"",MINDS!$C$19&amp;".A.a."&amp;MINDS!BS$43)</f>
        <v/>
      </c>
      <c r="BT32" s="2" t="str">
        <f>IF(ISBLANK(MINDS!BT$43),"",MINDS!$C$19&amp;".A.a."&amp;MINDS!BT$43)</f>
        <v/>
      </c>
      <c r="BU32" s="2" t="str">
        <f>IF(ISBLANK(MINDS!BU$43),"",MINDS!$C$19&amp;".A.a."&amp;MINDS!BU$43)</f>
        <v/>
      </c>
      <c r="BV32" s="2" t="str">
        <f>IF(ISBLANK(MINDS!BV$43),"",MINDS!$C$19&amp;".A.a."&amp;MINDS!BV$43)</f>
        <v/>
      </c>
      <c r="BW32" s="2" t="str">
        <f>IF(ISBLANK(MINDS!BW$43),"",MINDS!$C$19&amp;".A.a."&amp;MINDS!BW$43)</f>
        <v/>
      </c>
      <c r="BX32" s="2" t="str">
        <f>IF(ISBLANK(MINDS!BX$43),"",MINDS!$C$19&amp;".A.a."&amp;MINDS!BX$43)</f>
        <v/>
      </c>
      <c r="BY32" s="2" t="str">
        <f>IF(ISBLANK(MINDS!BY$43),"",MINDS!$C$19&amp;".A.a."&amp;MINDS!BY$43)</f>
        <v/>
      </c>
      <c r="BZ32" s="2" t="str">
        <f>IF(ISBLANK(MINDS!BZ$43),"",MINDS!$C$19&amp;".A.a."&amp;MINDS!BZ$43)</f>
        <v/>
      </c>
      <c r="CA32" s="2" t="str">
        <f>IF(ISBLANK(MINDS!CA$43),"",MINDS!$C$19&amp;".A.a."&amp;MINDS!CA$43)</f>
        <v/>
      </c>
      <c r="CB32" s="2" t="str">
        <f>IF(ISBLANK(MINDS!CB$43),"",MINDS!$C$19&amp;".A.a."&amp;MINDS!CB$43)</f>
        <v/>
      </c>
      <c r="CC32" s="2" t="str">
        <f>IF(ISBLANK(MINDS!CC$43),"",MINDS!$C$19&amp;".A.a."&amp;MINDS!CC$43)</f>
        <v/>
      </c>
      <c r="CD32" s="2" t="str">
        <f>IF(ISBLANK(MINDS!CD$43),"",MINDS!$C$19&amp;".A.a."&amp;MINDS!CD$43)</f>
        <v/>
      </c>
      <c r="CE32" s="2" t="str">
        <f>IF(ISBLANK(MINDS!CE$43),"",MINDS!$C$19&amp;".A.a."&amp;MINDS!CE$43)</f>
        <v/>
      </c>
      <c r="CF32" s="2" t="str">
        <f>IF(ISBLANK(MINDS!CF$43),"",MINDS!$C$19&amp;".A.a."&amp;MINDS!CF$43)</f>
        <v/>
      </c>
      <c r="CG32" s="2" t="str">
        <f>IF(ISBLANK(MINDS!CG$43),"",MINDS!$C$19&amp;".A.a."&amp;MINDS!CG$43)</f>
        <v/>
      </c>
      <c r="CH32" s="2" t="str">
        <f>IF(ISBLANK(MINDS!CH$43),"",MINDS!$C$19&amp;".A.a."&amp;MINDS!CH$43)</f>
        <v/>
      </c>
      <c r="CI32" s="2" t="str">
        <f>IF(ISBLANK(MINDS!CI$43),"",MINDS!$C$19&amp;".A.a."&amp;MINDS!CI$43)</f>
        <v/>
      </c>
      <c r="CJ32" s="2" t="str">
        <f>IF(ISBLANK(MINDS!CJ$43),"",MINDS!$C$19&amp;".A.a."&amp;MINDS!CJ$43)</f>
        <v/>
      </c>
      <c r="CK32" s="2" t="str">
        <f>IF(ISBLANK(MINDS!CK$43),"",MINDS!$C$19&amp;".A.a."&amp;MINDS!CK$43)</f>
        <v/>
      </c>
      <c r="CL32" s="2" t="str">
        <f>IF(ISBLANK(MINDS!CL$43),"",MINDS!$C$19&amp;".A.a."&amp;MINDS!CL$43)</f>
        <v/>
      </c>
      <c r="CM32" s="2" t="str">
        <f>IF(ISBLANK(MINDS!CM$43),"",MINDS!$C$19&amp;".A.a."&amp;MINDS!CM$43)</f>
        <v/>
      </c>
      <c r="CN32" s="2" t="str">
        <f>IF(ISBLANK(MINDS!CN$43),"",MINDS!$C$19&amp;".A.a."&amp;MINDS!CN$43)</f>
        <v/>
      </c>
      <c r="CO32" s="2" t="str">
        <f>IF(ISBLANK(MINDS!CO$43),"",MINDS!$C$19&amp;".A.a."&amp;MINDS!CO$43)</f>
        <v/>
      </c>
      <c r="CP32" s="2" t="str">
        <f>IF(ISBLANK(MINDS!CP$43),"",MINDS!$C$19&amp;".A.a."&amp;MINDS!CP$43)</f>
        <v/>
      </c>
      <c r="CQ32" s="2" t="str">
        <f>IF(ISBLANK(MINDS!CQ$43),"",MINDS!$C$19&amp;".A.a."&amp;MINDS!CQ$43)</f>
        <v/>
      </c>
      <c r="CR32" s="2" t="str">
        <f>IF(ISBLANK(MINDS!CR$43),"",MINDS!$C$19&amp;".A.a."&amp;MINDS!CR$43)</f>
        <v/>
      </c>
      <c r="CS32" s="2" t="str">
        <f>IF(ISBLANK(MINDS!CS$43),"",MINDS!$C$19&amp;".A.a."&amp;MINDS!CS$43)</f>
        <v/>
      </c>
      <c r="CT32" s="2" t="str">
        <f>IF(ISBLANK(MINDS!CT$43),"",MINDS!$C$19&amp;".A.a."&amp;MINDS!CT$43)</f>
        <v/>
      </c>
      <c r="CU32" s="2" t="str">
        <f>IF(ISBLANK(MINDS!CU$43),"",MINDS!$C$19&amp;".A.a."&amp;MINDS!CU$43)</f>
        <v/>
      </c>
      <c r="CV32" s="2" t="str">
        <f>IF(ISBLANK(MINDS!CV$43),"",MINDS!$C$19&amp;".A.a."&amp;MINDS!CV$43)</f>
        <v/>
      </c>
      <c r="CW32" s="2" t="str">
        <f>IF(ISBLANK(MINDS!CW$43),"",MINDS!$C$19&amp;".A.a."&amp;MINDS!CW$43)</f>
        <v/>
      </c>
      <c r="CX32" s="2" t="str">
        <f>IF(ISBLANK(MINDS!CX$43),"",MINDS!$C$19&amp;".A.a."&amp;MINDS!CX$43)</f>
        <v/>
      </c>
      <c r="CY32" s="2" t="str">
        <f>IF(ISBLANK(MINDS!CY$43),"",MINDS!$C$19&amp;".A.a."&amp;MINDS!CY$43)</f>
        <v/>
      </c>
      <c r="CZ32" s="2" t="str">
        <f>IF(ISBLANK(MINDS!CZ$43),"",MINDS!$C$19&amp;".A.a."&amp;MINDS!CZ$43)</f>
        <v/>
      </c>
      <c r="DA32" s="2" t="str">
        <f>IF(ISBLANK(MINDS!DA$43),"",MINDS!$C$19&amp;".A.a."&amp;MINDS!DA$43)</f>
        <v/>
      </c>
      <c r="DB32" s="2" t="str">
        <f>IF(ISBLANK(MINDS!DB$43),"",MINDS!$C$19&amp;".A.a."&amp;MINDS!DB$43)</f>
        <v/>
      </c>
      <c r="DC32" s="2" t="str">
        <f>IF(ISBLANK(MINDS!DC$43),"",MINDS!$C$19&amp;".A.a."&amp;MINDS!DC$43)</f>
        <v/>
      </c>
      <c r="DD32" s="2" t="str">
        <f>IF(ISBLANK(MINDS!DD$43),"",MINDS!$C$19&amp;".A.a."&amp;MINDS!DD$43)</f>
        <v/>
      </c>
      <c r="DE32" s="2" t="str">
        <f>IF(ISBLANK(MINDS!DE$43),"",MINDS!$C$19&amp;".A.a."&amp;MINDS!DE$43)</f>
        <v/>
      </c>
      <c r="DF32" s="2" t="str">
        <f>IF(ISBLANK(MINDS!DF$43),"",MINDS!$C$19&amp;".A.a."&amp;MINDS!DF$43)</f>
        <v/>
      </c>
      <c r="DG32" s="2" t="str">
        <f>IF(ISBLANK(MINDS!DG$43),"",MINDS!$C$19&amp;".A.a."&amp;MINDS!DG$43)</f>
        <v/>
      </c>
      <c r="DH32" s="2" t="str">
        <f>IF(ISBLANK(MINDS!DH$43),"",MINDS!$C$19&amp;".A.a."&amp;MINDS!DH$43)</f>
        <v/>
      </c>
      <c r="DI32" s="2" t="str">
        <f>IF(ISBLANK(MINDS!DI$43),"",MINDS!$C$19&amp;".A.a."&amp;MINDS!DI$43)</f>
        <v/>
      </c>
      <c r="DJ32" s="2" t="str">
        <f>IF(ISBLANK(MINDS!DJ$43),"",MINDS!$C$19&amp;".A.a."&amp;MINDS!DJ$43)</f>
        <v/>
      </c>
      <c r="DK32" s="2" t="str">
        <f>IF(ISBLANK(MINDS!DK$43),"",MINDS!$C$19&amp;".A.a."&amp;MINDS!DK$43)</f>
        <v/>
      </c>
      <c r="DL32" s="2" t="str">
        <f>IF(ISBLANK(MINDS!DL$43),"",MINDS!$C$19&amp;".A.a."&amp;MINDS!DL$43)</f>
        <v/>
      </c>
      <c r="DM32" s="2" t="str">
        <f>IF(ISBLANK(MINDS!DM$43),"",MINDS!$C$19&amp;".A.a."&amp;MINDS!DM$43)</f>
        <v/>
      </c>
      <c r="DN32" s="2" t="str">
        <f>IF(ISBLANK(MINDS!DN$43),"",MINDS!$C$19&amp;".A.a."&amp;MINDS!DN$43)</f>
        <v/>
      </c>
      <c r="DO32" s="2" t="str">
        <f>IF(ISBLANK(MINDS!DO$43),"",MINDS!$C$19&amp;".A.a."&amp;MINDS!DO$43)</f>
        <v/>
      </c>
      <c r="DP32" s="2" t="str">
        <f>IF(ISBLANK(MINDS!DP$43),"",MINDS!$C$19&amp;".A.a."&amp;MINDS!DP$43)</f>
        <v/>
      </c>
      <c r="DQ32" s="2" t="str">
        <f>IF(ISBLANK(MINDS!DQ$43),"",MINDS!$C$19&amp;".A.a."&amp;MINDS!DQ$43)</f>
        <v/>
      </c>
      <c r="DR32" s="2" t="str">
        <f>IF(ISBLANK(MINDS!DR$43),"",MINDS!$C$19&amp;".A.a."&amp;MINDS!DR$43)</f>
        <v/>
      </c>
      <c r="DS32" s="2" t="str">
        <f>IF(ISBLANK(MINDS!DS$43),"",MINDS!$C$19&amp;".A.a."&amp;MINDS!DS$43)</f>
        <v/>
      </c>
      <c r="DT32" s="2" t="str">
        <f>IF(ISBLANK(MINDS!DT$43),"",MINDS!$C$19&amp;".A.a."&amp;MINDS!DT$43)</f>
        <v/>
      </c>
      <c r="DU32" s="2" t="str">
        <f>IF(ISBLANK(MINDS!DU$43),"",MINDS!$C$19&amp;".A.a."&amp;MINDS!DU$43)</f>
        <v/>
      </c>
      <c r="DV32" s="2" t="str">
        <f>IF(ISBLANK(MINDS!DV$43),"",MINDS!$C$19&amp;".A.a."&amp;MINDS!DV$43)</f>
        <v/>
      </c>
      <c r="DW32" s="2" t="str">
        <f>IF(ISBLANK(MINDS!DW$43),"",MINDS!$C$19&amp;".A.a."&amp;MINDS!DW$43)</f>
        <v/>
      </c>
      <c r="DX32" s="2" t="str">
        <f>IF(ISBLANK(MINDS!DX$43),"",MINDS!$C$19&amp;".A.a."&amp;MINDS!DX$43)</f>
        <v/>
      </c>
      <c r="DY32" s="2" t="str">
        <f>IF(ISBLANK(MINDS!DY$43),"",MINDS!$C$19&amp;".A.a."&amp;MINDS!DY$43)</f>
        <v/>
      </c>
      <c r="DZ32" s="2" t="str">
        <f>IF(ISBLANK(MINDS!DZ$43),"",MINDS!$C$19&amp;".A.a."&amp;MINDS!DZ$43)</f>
        <v/>
      </c>
      <c r="EA32" s="2" t="str">
        <f>IF(ISBLANK(MINDS!EA$43),"",MINDS!$C$19&amp;".A.a."&amp;MINDS!EA$43)</f>
        <v/>
      </c>
      <c r="EB32" s="2" t="str">
        <f>IF(ISBLANK(MINDS!EB$43),"",MINDS!$C$19&amp;".A.a."&amp;MINDS!EB$43)</f>
        <v/>
      </c>
      <c r="EC32" s="2" t="str">
        <f>IF(ISBLANK(MINDS!EC$43),"",MINDS!$C$19&amp;".A.a."&amp;MINDS!EC$43)</f>
        <v/>
      </c>
      <c r="ED32" s="2" t="str">
        <f>IF(ISBLANK(MINDS!ED$43),"",MINDS!$C$19&amp;".A.a."&amp;MINDS!ED$43)</f>
        <v/>
      </c>
      <c r="EE32" s="2" t="str">
        <f>IF(ISBLANK(MINDS!EE$43),"",MINDS!$C$19&amp;".A.a."&amp;MINDS!EE$43)</f>
        <v/>
      </c>
      <c r="EF32" s="2" t="str">
        <f>IF(ISBLANK(MINDS!EF$43),"",MINDS!$C$19&amp;".A.a."&amp;MINDS!EF$43)</f>
        <v/>
      </c>
      <c r="EG32" s="2" t="str">
        <f>IF(ISBLANK(MINDS!EG$43),"",MINDS!$C$19&amp;".A.a."&amp;MINDS!EG$43)</f>
        <v/>
      </c>
      <c r="EH32" s="2" t="str">
        <f>IF(ISBLANK(MINDS!EH$43),"",MINDS!$C$19&amp;".A.a."&amp;MINDS!EH$43)</f>
        <v/>
      </c>
      <c r="EI32" s="2" t="str">
        <f>IF(ISBLANK(MINDS!EI$43),"",MINDS!$C$19&amp;".A.a."&amp;MINDS!EI$43)</f>
        <v/>
      </c>
      <c r="EJ32" s="2" t="str">
        <f>IF(ISBLANK(MINDS!EJ$43),"",MINDS!$C$19&amp;".A.a."&amp;MINDS!EJ$43)</f>
        <v/>
      </c>
      <c r="EK32" s="2" t="str">
        <f>IF(ISBLANK(MINDS!EK$43),"",MINDS!$C$19&amp;".A.a."&amp;MINDS!EK$43)</f>
        <v/>
      </c>
      <c r="EL32" s="2" t="str">
        <f>IF(ISBLANK(MINDS!EL$43),"",MINDS!$C$19&amp;".A.a."&amp;MINDS!EL$43)</f>
        <v/>
      </c>
      <c r="EM32" s="2" t="str">
        <f>IF(ISBLANK(MINDS!EM$43),"",MINDS!$C$19&amp;".A.a."&amp;MINDS!EM$43)</f>
        <v/>
      </c>
      <c r="EN32" s="2" t="str">
        <f>IF(ISBLANK(MINDS!EN$43),"",MINDS!$C$19&amp;".A.a."&amp;MINDS!EN$43)</f>
        <v/>
      </c>
      <c r="EO32" s="2" t="str">
        <f>IF(ISBLANK(MINDS!EO$43),"",MINDS!$C$19&amp;".A.a."&amp;MINDS!EO$43)</f>
        <v/>
      </c>
      <c r="EP32" s="2" t="str">
        <f>IF(ISBLANK(MINDS!EP$43),"",MINDS!$C$19&amp;".A.a."&amp;MINDS!EP$43)</f>
        <v/>
      </c>
      <c r="EQ32" s="2" t="str">
        <f>IF(ISBLANK(MINDS!EQ$43),"",MINDS!$C$19&amp;".A.a."&amp;MINDS!EQ$43)</f>
        <v/>
      </c>
      <c r="ER32" s="2" t="str">
        <f>IF(ISBLANK(MINDS!ER$43),"",MINDS!$C$19&amp;".A.a."&amp;MINDS!ER$43)</f>
        <v/>
      </c>
      <c r="ES32" s="2" t="str">
        <f>IF(ISBLANK(MINDS!ES$43),"",MINDS!$C$19&amp;".A.a."&amp;MINDS!ES$43)</f>
        <v/>
      </c>
      <c r="ET32" s="2" t="str">
        <f>IF(ISBLANK(MINDS!ET$43),"",MINDS!$C$19&amp;".A.a."&amp;MINDS!ET$43)</f>
        <v/>
      </c>
      <c r="EU32" s="2" t="str">
        <f>IF(ISBLANK(MINDS!EU$43),"",MINDS!$C$19&amp;".A.a."&amp;MINDS!EU$43)</f>
        <v/>
      </c>
      <c r="EV32" s="2" t="str">
        <f>IF(ISBLANK(MINDS!EV$43),"",MINDS!$C$19&amp;".A.a."&amp;MINDS!EV$43)</f>
        <v/>
      </c>
      <c r="EW32" s="2" t="str">
        <f>IF(ISBLANK(MINDS!EW$43),"",MINDS!$C$19&amp;".A.a."&amp;MINDS!EW$43)</f>
        <v/>
      </c>
      <c r="EX32" s="2" t="str">
        <f>IF(ISBLANK(MINDS!EX$43),"",MINDS!$C$19&amp;".A.a."&amp;MINDS!EX$43)</f>
        <v/>
      </c>
      <c r="EY32" s="2" t="str">
        <f>IF(ISBLANK(MINDS!EY$43),"",MINDS!$C$19&amp;".A.a."&amp;MINDS!EY$43)</f>
        <v/>
      </c>
      <c r="EZ32" s="2" t="str">
        <f>IF(ISBLANK(MINDS!EZ$43),"",MINDS!$C$19&amp;".A.a."&amp;MINDS!EZ$43)</f>
        <v/>
      </c>
      <c r="FA32" s="2" t="str">
        <f>IF(ISBLANK(MINDS!FA$43),"",MINDS!$C$19&amp;".A.a."&amp;MINDS!FA$43)</f>
        <v/>
      </c>
      <c r="FB32" s="2" t="str">
        <f>IF(ISBLANK(MINDS!FB$43),"",MINDS!$C$19&amp;".A.a."&amp;MINDS!FB$43)</f>
        <v/>
      </c>
      <c r="FC32" s="2" t="str">
        <f>IF(ISBLANK(MINDS!FC$43),"",MINDS!$C$19&amp;".A.a."&amp;MINDS!FC$43)</f>
        <v/>
      </c>
      <c r="FD32" s="2" t="str">
        <f>IF(ISBLANK(MINDS!FD$43),"",MINDS!$C$19&amp;".A.a."&amp;MINDS!FD$43)</f>
        <v/>
      </c>
      <c r="FE32" s="2" t="str">
        <f>IF(ISBLANK(MINDS!FE$43),"",MINDS!$C$19&amp;".A.a."&amp;MINDS!FE$43)</f>
        <v/>
      </c>
      <c r="FF32" s="2" t="str">
        <f>IF(ISBLANK(MINDS!FF$43),"",MINDS!$C$19&amp;".A.a."&amp;MINDS!FF$43)</f>
        <v/>
      </c>
      <c r="FG32" s="2" t="str">
        <f>IF(ISBLANK(MINDS!FG$43),"",MINDS!$C$19&amp;".A.a."&amp;MINDS!FG$43)</f>
        <v/>
      </c>
      <c r="FH32" s="2" t="str">
        <f>IF(ISBLANK(MINDS!FH$43),"",MINDS!$C$19&amp;".A.a."&amp;MINDS!FH$43)</f>
        <v/>
      </c>
      <c r="FI32" s="2" t="str">
        <f>IF(ISBLANK(MINDS!FI$43),"",MINDS!$C$19&amp;".A.a."&amp;MINDS!FI$43)</f>
        <v/>
      </c>
      <c r="FJ32" s="2" t="str">
        <f>IF(ISBLANK(MINDS!FJ$43),"",MINDS!$C$19&amp;".A.a."&amp;MINDS!FJ$43)</f>
        <v/>
      </c>
      <c r="FK32" s="2" t="str">
        <f>IF(ISBLANK(MINDS!FK$43),"",MINDS!$C$19&amp;".A.a."&amp;MINDS!FK$43)</f>
        <v/>
      </c>
      <c r="FL32" s="2" t="str">
        <f>IF(ISBLANK(MINDS!FL$43),"",MINDS!$C$19&amp;".A.a."&amp;MINDS!FL$43)</f>
        <v/>
      </c>
      <c r="FM32" s="2" t="str">
        <f>IF(ISBLANK(MINDS!FM$43),"",MINDS!$C$19&amp;".A.a."&amp;MINDS!FM$43)</f>
        <v/>
      </c>
      <c r="FN32" s="2" t="str">
        <f>IF(ISBLANK(MINDS!FN$43),"",MINDS!$C$19&amp;".A.a."&amp;MINDS!FN$43)</f>
        <v/>
      </c>
      <c r="FO32" s="2" t="str">
        <f>IF(ISBLANK(MINDS!FO$43),"",MINDS!$C$19&amp;".A.a."&amp;MINDS!FO$43)</f>
        <v/>
      </c>
      <c r="FP32" s="2" t="str">
        <f>IF(ISBLANK(MINDS!FP$43),"",MINDS!$C$19&amp;".A.a."&amp;MINDS!FP$43)</f>
        <v/>
      </c>
      <c r="FQ32" s="2" t="str">
        <f>IF(ISBLANK(MINDS!FQ$43),"",MINDS!$C$19&amp;".A.a."&amp;MINDS!FQ$43)</f>
        <v/>
      </c>
      <c r="FR32" s="2" t="str">
        <f>IF(ISBLANK(MINDS!FR$43),"",MINDS!$C$19&amp;".A.a."&amp;MINDS!FR$43)</f>
        <v/>
      </c>
      <c r="FS32" s="2" t="str">
        <f>IF(ISBLANK(MINDS!FS$43),"",MINDS!$C$19&amp;".A.a."&amp;MINDS!FS$43)</f>
        <v/>
      </c>
      <c r="FT32" s="2" t="str">
        <f>IF(ISBLANK(MINDS!FT$43),"",MINDS!$C$19&amp;".A.a."&amp;MINDS!FT$43)</f>
        <v/>
      </c>
      <c r="FU32" s="2" t="str">
        <f>IF(ISBLANK(MINDS!FU$43),"",MINDS!$C$19&amp;".A.a."&amp;MINDS!FU$43)</f>
        <v/>
      </c>
      <c r="FV32" s="2" t="str">
        <f>IF(ISBLANK(MINDS!FV$43),"",MINDS!$C$19&amp;".A.a."&amp;MINDS!FV$43)</f>
        <v/>
      </c>
      <c r="FW32" s="2" t="str">
        <f>IF(ISBLANK(MINDS!FW$43),"",MINDS!$C$19&amp;".A.a."&amp;MINDS!FW$43)</f>
        <v/>
      </c>
      <c r="FX32" s="2" t="str">
        <f>IF(ISBLANK(MINDS!FX$43),"",MINDS!$C$19&amp;".A.a."&amp;MINDS!FX$43)</f>
        <v/>
      </c>
      <c r="FY32" s="2" t="str">
        <f>IF(ISBLANK(MINDS!FY$43),"",MINDS!$C$19&amp;".A.a."&amp;MINDS!FY$43)</f>
        <v/>
      </c>
      <c r="FZ32" s="2" t="str">
        <f>IF(ISBLANK(MINDS!FZ$43),"",MINDS!$C$19&amp;".A.a."&amp;MINDS!FZ$43)</f>
        <v/>
      </c>
      <c r="GA32" s="2" t="str">
        <f>IF(ISBLANK(MINDS!GA$43),"",MINDS!$C$19&amp;".A.a."&amp;MINDS!GA$43)</f>
        <v/>
      </c>
      <c r="GB32" s="2" t="str">
        <f>IF(ISBLANK(MINDS!GB$43),"",MINDS!$C$19&amp;".A.a."&amp;MINDS!GB$43)</f>
        <v/>
      </c>
      <c r="GC32" s="2" t="str">
        <f>IF(ISBLANK(MINDS!GC$43),"",MINDS!$C$19&amp;".A.a."&amp;MINDS!GC$43)</f>
        <v/>
      </c>
      <c r="GD32" s="2" t="str">
        <f>IF(ISBLANK(MINDS!GD$43),"",MINDS!$C$19&amp;".A.a."&amp;MINDS!GD$43)</f>
        <v/>
      </c>
      <c r="GE32" s="2" t="str">
        <f>IF(ISBLANK(MINDS!GE$43),"",MINDS!$C$19&amp;".A.a."&amp;MINDS!GE$43)</f>
        <v/>
      </c>
      <c r="GF32" s="2" t="str">
        <f>IF(ISBLANK(MINDS!GF$43),"",MINDS!$C$19&amp;".A.a."&amp;MINDS!GF$43)</f>
        <v/>
      </c>
      <c r="GG32" s="2" t="str">
        <f>IF(ISBLANK(MINDS!GG$43),"",MINDS!$C$19&amp;".A.a."&amp;MINDS!GG$43)</f>
        <v/>
      </c>
      <c r="GH32" s="2" t="str">
        <f>IF(ISBLANK(MINDS!GH$43),"",MINDS!$C$19&amp;".A.a."&amp;MINDS!GH$43)</f>
        <v/>
      </c>
      <c r="GI32" s="2" t="str">
        <f>IF(ISBLANK(MINDS!GI$43),"",MINDS!$C$19&amp;".A.a."&amp;MINDS!GI$43)</f>
        <v/>
      </c>
      <c r="GJ32" s="2" t="str">
        <f>IF(ISBLANK(MINDS!GJ$43),"",MINDS!$C$19&amp;".A.a."&amp;MINDS!GJ$43)</f>
        <v/>
      </c>
      <c r="GK32" s="2" t="str">
        <f>IF(ISBLANK(MINDS!GK$43),"",MINDS!$C$19&amp;".A.a."&amp;MINDS!GK$43)</f>
        <v/>
      </c>
      <c r="GL32" s="2" t="str">
        <f>IF(ISBLANK(MINDS!GL$43),"",MINDS!$C$19&amp;".A.a."&amp;MINDS!GL$43)</f>
        <v/>
      </c>
      <c r="GM32" s="2" t="str">
        <f>IF(ISBLANK(MINDS!GM$43),"",MINDS!$C$19&amp;".A.a."&amp;MINDS!GM$43)</f>
        <v/>
      </c>
      <c r="GN32" s="2" t="str">
        <f>IF(ISBLANK(MINDS!GN$43),"",MINDS!$C$19&amp;".A.a."&amp;MINDS!GN$43)</f>
        <v/>
      </c>
      <c r="GO32" s="2" t="str">
        <f>IF(ISBLANK(MINDS!GO$43),"",MINDS!$C$19&amp;".A.a."&amp;MINDS!GO$43)</f>
        <v/>
      </c>
      <c r="GP32" s="2" t="str">
        <f>IF(ISBLANK(MINDS!GP$43),"",MINDS!$C$19&amp;".A.a."&amp;MINDS!GP$43)</f>
        <v/>
      </c>
      <c r="GQ32" s="2" t="str">
        <f>IF(ISBLANK(MINDS!GQ$43),"",MINDS!$C$19&amp;".A.a."&amp;MINDS!GQ$43)</f>
        <v/>
      </c>
      <c r="GR32" s="2" t="str">
        <f>IF(ISBLANK(MINDS!GR$43),"",MINDS!$C$19&amp;".A.a."&amp;MINDS!GR$43)</f>
        <v/>
      </c>
      <c r="GS32" s="2" t="str">
        <f>IF(ISBLANK(MINDS!GS$43),"",MINDS!$C$19&amp;".A.a."&amp;MINDS!GS$43)</f>
        <v/>
      </c>
      <c r="GT32" s="2" t="str">
        <f>IF(ISBLANK(MINDS!GT$43),"",MINDS!$C$19&amp;".A.a."&amp;MINDS!GT$43)</f>
        <v/>
      </c>
      <c r="GU32" s="2" t="str">
        <f>IF(ISBLANK(MINDS!GU$43),"",MINDS!$C$19&amp;".A.a."&amp;MINDS!GU$43)</f>
        <v/>
      </c>
      <c r="GV32" s="2" t="str">
        <f>IF(ISBLANK(MINDS!GV$43),"",MINDS!$C$19&amp;".A.a."&amp;MINDS!GV$43)</f>
        <v/>
      </c>
      <c r="GW32" s="2" t="str">
        <f>IF(ISBLANK(MINDS!GW$43),"",MINDS!$C$19&amp;".A.a."&amp;MINDS!GW$43)</f>
        <v/>
      </c>
      <c r="GX32" s="2" t="str">
        <f>IF(ISBLANK(MINDS!GX$43),"",MINDS!$C$19&amp;".A.a."&amp;MINDS!GX$43)</f>
        <v/>
      </c>
      <c r="GY32" s="2" t="str">
        <f>IF(ISBLANK(MINDS!GY$43),"",MINDS!$C$19&amp;".A.a."&amp;MINDS!GY$43)</f>
        <v/>
      </c>
      <c r="GZ32" s="2" t="str">
        <f>IF(ISBLANK(MINDS!GZ$43),"",MINDS!$C$19&amp;".A.a."&amp;MINDS!GZ$43)</f>
        <v/>
      </c>
      <c r="HA32" s="2" t="str">
        <f>IF(ISBLANK(MINDS!HA$43),"",MINDS!$C$19&amp;".A.a."&amp;MINDS!HA$43)</f>
        <v/>
      </c>
      <c r="HB32" s="2" t="str">
        <f>IF(ISBLANK(MINDS!HB$43),"",MINDS!$C$19&amp;".A.a."&amp;MINDS!HB$43)</f>
        <v/>
      </c>
      <c r="HC32" s="2" t="str">
        <f>IF(ISBLANK(MINDS!HC$43),"",MINDS!$C$19&amp;".A.a."&amp;MINDS!HC$43)</f>
        <v/>
      </c>
      <c r="HD32" s="2" t="str">
        <f>IF(ISBLANK(MINDS!HD$43),"",MINDS!$C$19&amp;".A.a."&amp;MINDS!HD$43)</f>
        <v/>
      </c>
      <c r="HE32" s="2" t="str">
        <f>IF(ISBLANK(MINDS!HE$43),"",MINDS!$C$19&amp;".A.a."&amp;MINDS!HE$43)</f>
        <v/>
      </c>
      <c r="HF32" s="2" t="str">
        <f>IF(ISBLANK(MINDS!HF$43),"",MINDS!$C$19&amp;".A.a."&amp;MINDS!HF$43)</f>
        <v/>
      </c>
      <c r="HG32" s="2" t="str">
        <f>IF(ISBLANK(MINDS!HG$43),"",MINDS!$C$19&amp;".A.a."&amp;MINDS!HG$43)</f>
        <v/>
      </c>
      <c r="HH32" s="2" t="str">
        <f>IF(ISBLANK(MINDS!HH$43),"",MINDS!$C$19&amp;".A.a."&amp;MINDS!HH$43)</f>
        <v/>
      </c>
      <c r="HI32" s="2" t="str">
        <f>IF(ISBLANK(MINDS!HI$43),"",MINDS!$C$19&amp;".A.a."&amp;MINDS!HI$43)</f>
        <v/>
      </c>
      <c r="HJ32" s="2" t="str">
        <f>IF(ISBLANK(MINDS!HJ$43),"",MINDS!$C$19&amp;".A.a."&amp;MINDS!HJ$43)</f>
        <v/>
      </c>
      <c r="HK32" s="2" t="str">
        <f>IF(ISBLANK(MINDS!HK$43),"",MINDS!$C$19&amp;".A.a."&amp;MINDS!HK$43)</f>
        <v/>
      </c>
      <c r="HL32" s="2" t="str">
        <f>IF(ISBLANK(MINDS!HL$43),"",MINDS!$C$19&amp;".A.a."&amp;MINDS!HL$43)</f>
        <v/>
      </c>
      <c r="HM32" s="2" t="str">
        <f>IF(ISBLANK(MINDS!HM$43),"",MINDS!$C$19&amp;".A.a."&amp;MINDS!HM$43)</f>
        <v/>
      </c>
      <c r="HN32" s="2" t="str">
        <f>IF(ISBLANK(MINDS!HN$43),"",MINDS!$C$19&amp;".A.a."&amp;MINDS!HN$43)</f>
        <v/>
      </c>
      <c r="HO32" s="2" t="str">
        <f>IF(ISBLANK(MINDS!HO$43),"",MINDS!$C$19&amp;".A.a."&amp;MINDS!HO$43)</f>
        <v/>
      </c>
      <c r="HP32" s="2" t="str">
        <f>IF(ISBLANK(MINDS!HP$43),"",MINDS!$C$19&amp;".A.a."&amp;MINDS!HP$43)</f>
        <v/>
      </c>
      <c r="HQ32" s="2" t="str">
        <f>IF(ISBLANK(MINDS!HQ$43),"",MINDS!$C$19&amp;".A.a."&amp;MINDS!HQ$43)</f>
        <v/>
      </c>
      <c r="HR32" s="2" t="str">
        <f>IF(ISBLANK(MINDS!HR$43),"",MINDS!$C$19&amp;".A.a."&amp;MINDS!HR$43)</f>
        <v/>
      </c>
      <c r="HS32" s="2" t="str">
        <f>IF(ISBLANK(MINDS!HS$43),"",MINDS!$C$19&amp;".A.a."&amp;MINDS!HS$43)</f>
        <v/>
      </c>
      <c r="HT32" s="2" t="str">
        <f>IF(ISBLANK(MINDS!HT$43),"",MINDS!$C$19&amp;".A.a."&amp;MINDS!HT$43)</f>
        <v/>
      </c>
      <c r="HU32" s="2" t="str">
        <f>IF(ISBLANK(MINDS!HU$43),"",MINDS!$C$19&amp;".A.a."&amp;MINDS!HU$43)</f>
        <v/>
      </c>
      <c r="HV32" s="2" t="str">
        <f>IF(ISBLANK(MINDS!HV$43),"",MINDS!$C$19&amp;".A.a."&amp;MINDS!HV$43)</f>
        <v/>
      </c>
      <c r="HW32" s="2" t="str">
        <f>IF(ISBLANK(MINDS!HW$43),"",MINDS!$C$19&amp;".A.a."&amp;MINDS!HW$43)</f>
        <v/>
      </c>
      <c r="HX32" s="2" t="str">
        <f>IF(ISBLANK(MINDS!HX$43),"",MINDS!$C$19&amp;".A.a."&amp;MINDS!HX$43)</f>
        <v/>
      </c>
      <c r="HY32" s="2" t="str">
        <f>IF(ISBLANK(MINDS!HY$43),"",MINDS!$C$19&amp;".A.a."&amp;MINDS!HY$43)</f>
        <v/>
      </c>
      <c r="HZ32" s="2" t="str">
        <f>IF(ISBLANK(MINDS!HZ$43),"",MINDS!$C$19&amp;".A.a."&amp;MINDS!HZ$43)</f>
        <v/>
      </c>
      <c r="IA32" s="2" t="str">
        <f>IF(ISBLANK(MINDS!IA$43),"",MINDS!$C$19&amp;".A.a."&amp;MINDS!IA$43)</f>
        <v/>
      </c>
      <c r="IB32" s="2" t="str">
        <f>IF(ISBLANK(MINDS!IB$43),"",MINDS!$C$19&amp;".A.a."&amp;MINDS!IB$43)</f>
        <v/>
      </c>
      <c r="IC32" s="2" t="str">
        <f>IF(ISBLANK(MINDS!IC$43),"",MINDS!$C$19&amp;".A.a."&amp;MINDS!IC$43)</f>
        <v/>
      </c>
      <c r="ID32" s="2" t="str">
        <f>IF(ISBLANK(MINDS!ID$43),"",MINDS!$C$19&amp;".A.a."&amp;MINDS!ID$43)</f>
        <v/>
      </c>
      <c r="IE32" s="2" t="str">
        <f>IF(ISBLANK(MINDS!IE$43),"",MINDS!$C$19&amp;".A.a."&amp;MINDS!IE$43)</f>
        <v/>
      </c>
      <c r="IF32" s="2" t="str">
        <f>IF(ISBLANK(MINDS!IF$43),"",MINDS!$C$19&amp;".A.a."&amp;MINDS!IF$43)</f>
        <v/>
      </c>
      <c r="IG32" s="2" t="str">
        <f>IF(ISBLANK(MINDS!IG$43),"",MINDS!$C$19&amp;".A.a."&amp;MINDS!IG$43)</f>
        <v/>
      </c>
      <c r="IH32" s="2" t="str">
        <f>IF(ISBLANK(MINDS!IH$43),"",MINDS!$C$19&amp;".A.a."&amp;MINDS!IH$43)</f>
        <v/>
      </c>
      <c r="II32" s="2" t="str">
        <f>IF(ISBLANK(MINDS!II$43),"",MINDS!$C$19&amp;".A.a."&amp;MINDS!II$43)</f>
        <v/>
      </c>
      <c r="IJ32" s="2" t="str">
        <f>IF(ISBLANK(MINDS!IJ$43),"",MINDS!$C$19&amp;".A.a."&amp;MINDS!IJ$43)</f>
        <v/>
      </c>
      <c r="IK32" s="2" t="str">
        <f>IF(ISBLANK(MINDS!IK$43),"",MINDS!$C$19&amp;".A.a."&amp;MINDS!IK$43)</f>
        <v/>
      </c>
      <c r="IL32" s="2" t="str">
        <f>IF(ISBLANK(MINDS!IL$43),"",MINDS!$C$19&amp;".A.a."&amp;MINDS!IL$43)</f>
        <v/>
      </c>
      <c r="IM32" s="2" t="str">
        <f>IF(ISBLANK(MINDS!IM$43),"",MINDS!$C$19&amp;".A.a."&amp;MINDS!IM$43)</f>
        <v/>
      </c>
      <c r="IN32" s="2" t="str">
        <f>IF(ISBLANK(MINDS!IN$43),"",MINDS!$C$19&amp;".A.a."&amp;MINDS!IN$43)</f>
        <v/>
      </c>
      <c r="IO32" s="2" t="str">
        <f>IF(ISBLANK(MINDS!IO$43),"",MINDS!$C$19&amp;".A.a."&amp;MINDS!IO$43)</f>
        <v/>
      </c>
      <c r="IP32" s="2" t="str">
        <f>IF(ISBLANK(MINDS!IP$43),"",MINDS!$C$19&amp;".A.a."&amp;MINDS!IP$43)</f>
        <v/>
      </c>
      <c r="IQ32" s="2" t="str">
        <f>IF(ISBLANK(MINDS!IQ$43),"",MINDS!$C$19&amp;".A.a."&amp;MINDS!IQ$43)</f>
        <v/>
      </c>
      <c r="IR32" s="2" t="str">
        <f>IF(ISBLANK(MINDS!IR$43),"",MINDS!$C$19&amp;".A.a."&amp;MINDS!IR$43)</f>
        <v/>
      </c>
      <c r="IS32" s="2" t="str">
        <f>IF(ISBLANK(MINDS!IS$43),"",MINDS!$C$19&amp;".A.a."&amp;MINDS!IS$43)</f>
        <v/>
      </c>
      <c r="IT32" s="2" t="str">
        <f>IF(ISBLANK(MINDS!IT$43),"",MINDS!$C$19&amp;".A.a."&amp;MINDS!IT$43)</f>
        <v/>
      </c>
      <c r="IU32" s="2" t="str">
        <f>IF(ISBLANK(MINDS!IU$43),"",MINDS!$C$19&amp;".A.a."&amp;MINDS!IU$43)</f>
        <v/>
      </c>
      <c r="IV32" s="2" t="str">
        <f>IF(ISBLANK(MINDS!IV$43),"",MINDS!$C$19&amp;".A.a."&amp;MINDS!IV$43)</f>
        <v/>
      </c>
    </row>
    <row r="33" spans="1:256" x14ac:dyDescent="0.2">
      <c r="A33" s="3" t="s">
        <v>1</v>
      </c>
      <c r="C33" s="2" t="str">
        <f>IF(C$32="","",MINDS!$C$34)</f>
        <v/>
      </c>
      <c r="D33" s="2" t="str">
        <f>IF(D$32="","",MINDS!$C$34)</f>
        <v/>
      </c>
      <c r="E33" s="2" t="str">
        <f>IF(E$32="","",MINDS!$C$34)</f>
        <v/>
      </c>
      <c r="F33" s="2" t="str">
        <f>IF(F$32="","",MINDS!$C$34)</f>
        <v/>
      </c>
      <c r="G33" s="2" t="str">
        <f>IF(G$32="","",MINDS!$C$34)</f>
        <v/>
      </c>
      <c r="H33" s="2" t="str">
        <f>IF(H$32="","",MINDS!$C$34)</f>
        <v/>
      </c>
      <c r="I33" s="2" t="str">
        <f>IF(I$32="","",MINDS!$C$34)</f>
        <v/>
      </c>
      <c r="J33" s="2" t="str">
        <f>IF(J$32="","",MINDS!$C$34)</f>
        <v/>
      </c>
      <c r="K33" s="2" t="str">
        <f>IF(K$32="","",MINDS!$C$34)</f>
        <v/>
      </c>
      <c r="L33" s="2" t="str">
        <f>IF(L$32="","",MINDS!$C$34)</f>
        <v/>
      </c>
      <c r="M33" s="2" t="str">
        <f>IF(M$32="","",MINDS!$C$34)</f>
        <v/>
      </c>
      <c r="N33" s="2" t="str">
        <f>IF(N$32="","",MINDS!$C$34)</f>
        <v/>
      </c>
      <c r="O33" s="2" t="str">
        <f>IF(O$32="","",MINDS!$C$34)</f>
        <v/>
      </c>
      <c r="P33" s="2" t="str">
        <f>IF(P$32="","",MINDS!$C$34)</f>
        <v/>
      </c>
      <c r="Q33" s="2" t="str">
        <f>IF(Q$32="","",MINDS!$C$34)</f>
        <v/>
      </c>
      <c r="R33" s="2" t="str">
        <f>IF(R$32="","",MINDS!$C$34)</f>
        <v/>
      </c>
      <c r="S33" s="2" t="str">
        <f>IF(S$32="","",MINDS!$C$34)</f>
        <v/>
      </c>
      <c r="T33" s="2" t="str">
        <f>IF(T$32="","",MINDS!$C$34)</f>
        <v/>
      </c>
      <c r="U33" s="2" t="str">
        <f>IF(U$32="","",MINDS!$C$34)</f>
        <v/>
      </c>
      <c r="V33" s="2" t="str">
        <f>IF(V$32="","",MINDS!$C$34)</f>
        <v/>
      </c>
      <c r="W33" s="2" t="str">
        <f>IF(W$32="","",MINDS!$C$34)</f>
        <v/>
      </c>
      <c r="X33" s="2" t="str">
        <f>IF(X$32="","",MINDS!$C$34)</f>
        <v/>
      </c>
      <c r="Y33" s="2" t="str">
        <f>IF(Y$32="","",MINDS!$C$34)</f>
        <v/>
      </c>
      <c r="Z33" s="2" t="str">
        <f>IF(Z$32="","",MINDS!$C$34)</f>
        <v/>
      </c>
      <c r="AA33" s="2" t="str">
        <f>IF(AA$32="","",MINDS!$C$34)</f>
        <v/>
      </c>
      <c r="AB33" s="2" t="str">
        <f>IF(AB$32="","",MINDS!$C$34)</f>
        <v/>
      </c>
      <c r="AC33" s="2" t="str">
        <f>IF(AC$32="","",MINDS!$C$34)</f>
        <v/>
      </c>
      <c r="AD33" s="2" t="str">
        <f>IF(AD$32="","",MINDS!$C$34)</f>
        <v/>
      </c>
      <c r="AE33" s="2" t="str">
        <f>IF(AE$32="","",MINDS!$C$34)</f>
        <v/>
      </c>
      <c r="AF33" s="2" t="str">
        <f>IF(AF$32="","",MINDS!$C$34)</f>
        <v/>
      </c>
      <c r="AG33" s="2" t="str">
        <f>IF(AG$32="","",MINDS!$C$34)</f>
        <v/>
      </c>
      <c r="AH33" s="2" t="str">
        <f>IF(AH$32="","",MINDS!$C$34)</f>
        <v/>
      </c>
      <c r="AI33" s="2" t="str">
        <f>IF(AI$32="","",MINDS!$C$34)</f>
        <v/>
      </c>
      <c r="AJ33" s="2" t="str">
        <f>IF(AJ$32="","",MINDS!$C$34)</f>
        <v/>
      </c>
      <c r="AK33" s="2" t="str">
        <f>IF(AK$32="","",MINDS!$C$34)</f>
        <v/>
      </c>
      <c r="AL33" s="2" t="str">
        <f>IF(AL$32="","",MINDS!$C$34)</f>
        <v/>
      </c>
      <c r="AM33" s="2" t="str">
        <f>IF(AM$32="","",MINDS!$C$34)</f>
        <v/>
      </c>
      <c r="AN33" s="2" t="str">
        <f>IF(AN$32="","",MINDS!$C$34)</f>
        <v/>
      </c>
      <c r="AO33" s="2" t="str">
        <f>IF(AO$32="","",MINDS!$C$34)</f>
        <v/>
      </c>
      <c r="AP33" s="2" t="str">
        <f>IF(AP$32="","",MINDS!$C$34)</f>
        <v/>
      </c>
      <c r="AQ33" s="2" t="str">
        <f>IF(AQ$32="","",MINDS!$C$34)</f>
        <v/>
      </c>
      <c r="AR33" s="2" t="str">
        <f>IF(AR$32="","",MINDS!$C$34)</f>
        <v/>
      </c>
      <c r="AS33" s="2" t="str">
        <f>IF(AS$32="","",MINDS!$C$34)</f>
        <v/>
      </c>
      <c r="AT33" s="2" t="str">
        <f>IF(AT$32="","",MINDS!$C$34)</f>
        <v/>
      </c>
      <c r="AU33" s="2" t="str">
        <f>IF(AU$32="","",MINDS!$C$34)</f>
        <v/>
      </c>
      <c r="AV33" s="2" t="str">
        <f>IF(AV$32="","",MINDS!$C$34)</f>
        <v/>
      </c>
      <c r="AW33" s="2" t="str">
        <f>IF(AW$32="","",MINDS!$C$34)</f>
        <v/>
      </c>
      <c r="AX33" s="2" t="str">
        <f>IF(AX$32="","",MINDS!$C$34)</f>
        <v/>
      </c>
      <c r="AY33" s="2" t="str">
        <f>IF(AY$32="","",MINDS!$C$34)</f>
        <v/>
      </c>
      <c r="AZ33" s="2" t="str">
        <f>IF(AZ$32="","",MINDS!$C$34)</f>
        <v/>
      </c>
      <c r="BA33" s="2" t="str">
        <f>IF(BA$32="","",MINDS!$C$34)</f>
        <v/>
      </c>
      <c r="BB33" s="2" t="str">
        <f>IF(BB$32="","",MINDS!$C$34)</f>
        <v/>
      </c>
      <c r="BC33" s="2" t="str">
        <f>IF(BC$32="","",MINDS!$C$34)</f>
        <v/>
      </c>
      <c r="BD33" s="2" t="str">
        <f>IF(BD$32="","",MINDS!$C$34)</f>
        <v/>
      </c>
      <c r="BE33" s="2" t="str">
        <f>IF(BE$32="","",MINDS!$C$34)</f>
        <v/>
      </c>
      <c r="BF33" s="2" t="str">
        <f>IF(BF$32="","",MINDS!$C$34)</f>
        <v/>
      </c>
      <c r="BG33" s="2" t="str">
        <f>IF(BG$32="","",MINDS!$C$34)</f>
        <v/>
      </c>
      <c r="BH33" s="2" t="str">
        <f>IF(BH$32="","",MINDS!$C$34)</f>
        <v/>
      </c>
      <c r="BI33" s="2" t="str">
        <f>IF(BI$32="","",MINDS!$C$34)</f>
        <v/>
      </c>
      <c r="BJ33" s="2" t="str">
        <f>IF(BJ$32="","",MINDS!$C$34)</f>
        <v/>
      </c>
      <c r="BK33" s="2" t="str">
        <f>IF(BK$32="","",MINDS!$C$34)</f>
        <v/>
      </c>
      <c r="BL33" s="2" t="str">
        <f>IF(BL$32="","",MINDS!$C$34)</f>
        <v/>
      </c>
      <c r="BM33" s="2" t="str">
        <f>IF(BM$32="","",MINDS!$C$34)</f>
        <v/>
      </c>
      <c r="BN33" s="2" t="str">
        <f>IF(BN$32="","",MINDS!$C$34)</f>
        <v/>
      </c>
      <c r="BO33" s="2" t="str">
        <f>IF(BO$32="","",MINDS!$C$34)</f>
        <v/>
      </c>
      <c r="BP33" s="2" t="str">
        <f>IF(BP$32="","",MINDS!$C$34)</f>
        <v/>
      </c>
      <c r="BQ33" s="2" t="str">
        <f>IF(BQ$32="","",MINDS!$C$34)</f>
        <v/>
      </c>
      <c r="BR33" s="2" t="str">
        <f>IF(BR$32="","",MINDS!$C$34)</f>
        <v/>
      </c>
      <c r="BS33" s="2" t="str">
        <f>IF(BS$32="","",MINDS!$C$34)</f>
        <v/>
      </c>
      <c r="BT33" s="2" t="str">
        <f>IF(BT$32="","",MINDS!$C$34)</f>
        <v/>
      </c>
      <c r="BU33" s="2" t="str">
        <f>IF(BU$32="","",MINDS!$C$34)</f>
        <v/>
      </c>
      <c r="BV33" s="2" t="str">
        <f>IF(BV$32="","",MINDS!$C$34)</f>
        <v/>
      </c>
      <c r="BW33" s="2" t="str">
        <f>IF(BW$32="","",MINDS!$C$34)</f>
        <v/>
      </c>
      <c r="BX33" s="2" t="str">
        <f>IF(BX$32="","",MINDS!$C$34)</f>
        <v/>
      </c>
      <c r="BY33" s="2" t="str">
        <f>IF(BY$32="","",MINDS!$C$34)</f>
        <v/>
      </c>
      <c r="BZ33" s="2" t="str">
        <f>IF(BZ$32="","",MINDS!$C$34)</f>
        <v/>
      </c>
      <c r="CA33" s="2" t="str">
        <f>IF(CA$32="","",MINDS!$C$34)</f>
        <v/>
      </c>
      <c r="CB33" s="2" t="str">
        <f>IF(CB$32="","",MINDS!$C$34)</f>
        <v/>
      </c>
      <c r="CC33" s="2" t="str">
        <f>IF(CC$32="","",MINDS!$C$34)</f>
        <v/>
      </c>
      <c r="CD33" s="2" t="str">
        <f>IF(CD$32="","",MINDS!$C$34)</f>
        <v/>
      </c>
      <c r="CE33" s="2" t="str">
        <f>IF(CE$32="","",MINDS!$C$34)</f>
        <v/>
      </c>
      <c r="CF33" s="2" t="str">
        <f>IF(CF$32="","",MINDS!$C$34)</f>
        <v/>
      </c>
      <c r="CG33" s="2" t="str">
        <f>IF(CG$32="","",MINDS!$C$34)</f>
        <v/>
      </c>
      <c r="CH33" s="2" t="str">
        <f>IF(CH$32="","",MINDS!$C$34)</f>
        <v/>
      </c>
      <c r="CI33" s="2" t="str">
        <f>IF(CI$32="","",MINDS!$C$34)</f>
        <v/>
      </c>
      <c r="CJ33" s="2" t="str">
        <f>IF(CJ$32="","",MINDS!$C$34)</f>
        <v/>
      </c>
      <c r="CK33" s="2" t="str">
        <f>IF(CK$32="","",MINDS!$C$34)</f>
        <v/>
      </c>
      <c r="CL33" s="2" t="str">
        <f>IF(CL$32="","",MINDS!$C$34)</f>
        <v/>
      </c>
      <c r="CM33" s="2" t="str">
        <f>IF(CM$32="","",MINDS!$C$34)</f>
        <v/>
      </c>
      <c r="CN33" s="2" t="str">
        <f>IF(CN$32="","",MINDS!$C$34)</f>
        <v/>
      </c>
      <c r="CO33" s="2" t="str">
        <f>IF(CO$32="","",MINDS!$C$34)</f>
        <v/>
      </c>
      <c r="CP33" s="2" t="str">
        <f>IF(CP$32="","",MINDS!$C$34)</f>
        <v/>
      </c>
      <c r="CQ33" s="2" t="str">
        <f>IF(CQ$32="","",MINDS!$C$34)</f>
        <v/>
      </c>
      <c r="CR33" s="2" t="str">
        <f>IF(CR$32="","",MINDS!$C$34)</f>
        <v/>
      </c>
      <c r="CS33" s="2" t="str">
        <f>IF(CS$32="","",MINDS!$C$34)</f>
        <v/>
      </c>
      <c r="CT33" s="2" t="str">
        <f>IF(CT$32="","",MINDS!$C$34)</f>
        <v/>
      </c>
      <c r="CU33" s="2" t="str">
        <f>IF(CU$32="","",MINDS!$C$34)</f>
        <v/>
      </c>
      <c r="CV33" s="2" t="str">
        <f>IF(CV$32="","",MINDS!$C$34)</f>
        <v/>
      </c>
      <c r="CW33" s="2" t="str">
        <f>IF(CW$32="","",MINDS!$C$34)</f>
        <v/>
      </c>
      <c r="CX33" s="2" t="str">
        <f>IF(CX$32="","",MINDS!$C$34)</f>
        <v/>
      </c>
      <c r="CY33" s="2" t="str">
        <f>IF(CY$32="","",MINDS!$C$34)</f>
        <v/>
      </c>
      <c r="CZ33" s="2" t="str">
        <f>IF(CZ$32="","",MINDS!$C$34)</f>
        <v/>
      </c>
      <c r="DA33" s="2" t="str">
        <f>IF(DA$32="","",MINDS!$C$34)</f>
        <v/>
      </c>
      <c r="DB33" s="2" t="str">
        <f>IF(DB$32="","",MINDS!$C$34)</f>
        <v/>
      </c>
      <c r="DC33" s="2" t="str">
        <f>IF(DC$32="","",MINDS!$C$34)</f>
        <v/>
      </c>
      <c r="DD33" s="2" t="str">
        <f>IF(DD$32="","",MINDS!$C$34)</f>
        <v/>
      </c>
      <c r="DE33" s="2" t="str">
        <f>IF(DE$32="","",MINDS!$C$34)</f>
        <v/>
      </c>
      <c r="DF33" s="2" t="str">
        <f>IF(DF$32="","",MINDS!$C$34)</f>
        <v/>
      </c>
      <c r="DG33" s="2" t="str">
        <f>IF(DG$32="","",MINDS!$C$34)</f>
        <v/>
      </c>
      <c r="DH33" s="2" t="str">
        <f>IF(DH$32="","",MINDS!$C$34)</f>
        <v/>
      </c>
      <c r="DI33" s="2" t="str">
        <f>IF(DI$32="","",MINDS!$C$34)</f>
        <v/>
      </c>
      <c r="DJ33" s="2" t="str">
        <f>IF(DJ$32="","",MINDS!$C$34)</f>
        <v/>
      </c>
      <c r="DK33" s="2" t="str">
        <f>IF(DK$32="","",MINDS!$C$34)</f>
        <v/>
      </c>
      <c r="DL33" s="2" t="str">
        <f>IF(DL$32="","",MINDS!$C$34)</f>
        <v/>
      </c>
      <c r="DM33" s="2" t="str">
        <f>IF(DM$32="","",MINDS!$C$34)</f>
        <v/>
      </c>
      <c r="DN33" s="2" t="str">
        <f>IF(DN$32="","",MINDS!$C$34)</f>
        <v/>
      </c>
      <c r="DO33" s="2" t="str">
        <f>IF(DO$32="","",MINDS!$C$34)</f>
        <v/>
      </c>
      <c r="DP33" s="2" t="str">
        <f>IF(DP$32="","",MINDS!$C$34)</f>
        <v/>
      </c>
      <c r="DQ33" s="2" t="str">
        <f>IF(DQ$32="","",MINDS!$C$34)</f>
        <v/>
      </c>
      <c r="DR33" s="2" t="str">
        <f>IF(DR$32="","",MINDS!$C$34)</f>
        <v/>
      </c>
      <c r="DS33" s="2" t="str">
        <f>IF(DS$32="","",MINDS!$C$34)</f>
        <v/>
      </c>
      <c r="DT33" s="2" t="str">
        <f>IF(DT$32="","",MINDS!$C$34)</f>
        <v/>
      </c>
      <c r="DU33" s="2" t="str">
        <f>IF(DU$32="","",MINDS!$C$34)</f>
        <v/>
      </c>
      <c r="DV33" s="2" t="str">
        <f>IF(DV$32="","",MINDS!$C$34)</f>
        <v/>
      </c>
      <c r="DW33" s="2" t="str">
        <f>IF(DW$32="","",MINDS!$C$34)</f>
        <v/>
      </c>
      <c r="DX33" s="2" t="str">
        <f>IF(DX$32="","",MINDS!$C$34)</f>
        <v/>
      </c>
      <c r="DY33" s="2" t="str">
        <f>IF(DY$32="","",MINDS!$C$34)</f>
        <v/>
      </c>
      <c r="DZ33" s="2" t="str">
        <f>IF(DZ$32="","",MINDS!$C$34)</f>
        <v/>
      </c>
      <c r="EA33" s="2" t="str">
        <f>IF(EA$32="","",MINDS!$C$34)</f>
        <v/>
      </c>
      <c r="EB33" s="2" t="str">
        <f>IF(EB$32="","",MINDS!$C$34)</f>
        <v/>
      </c>
      <c r="EC33" s="2" t="str">
        <f>IF(EC$32="","",MINDS!$C$34)</f>
        <v/>
      </c>
      <c r="ED33" s="2" t="str">
        <f>IF(ED$32="","",MINDS!$C$34)</f>
        <v/>
      </c>
      <c r="EE33" s="2" t="str">
        <f>IF(EE$32="","",MINDS!$C$34)</f>
        <v/>
      </c>
      <c r="EF33" s="2" t="str">
        <f>IF(EF$32="","",MINDS!$C$34)</f>
        <v/>
      </c>
      <c r="EG33" s="2" t="str">
        <f>IF(EG$32="","",MINDS!$C$34)</f>
        <v/>
      </c>
      <c r="EH33" s="2" t="str">
        <f>IF(EH$32="","",MINDS!$C$34)</f>
        <v/>
      </c>
      <c r="EI33" s="2" t="str">
        <f>IF(EI$32="","",MINDS!$C$34)</f>
        <v/>
      </c>
      <c r="EJ33" s="2" t="str">
        <f>IF(EJ$32="","",MINDS!$C$34)</f>
        <v/>
      </c>
      <c r="EK33" s="2" t="str">
        <f>IF(EK$32="","",MINDS!$C$34)</f>
        <v/>
      </c>
      <c r="EL33" s="2" t="str">
        <f>IF(EL$32="","",MINDS!$C$34)</f>
        <v/>
      </c>
      <c r="EM33" s="2" t="str">
        <f>IF(EM$32="","",MINDS!$C$34)</f>
        <v/>
      </c>
      <c r="EN33" s="2" t="str">
        <f>IF(EN$32="","",MINDS!$C$34)</f>
        <v/>
      </c>
      <c r="EO33" s="2" t="str">
        <f>IF(EO$32="","",MINDS!$C$34)</f>
        <v/>
      </c>
      <c r="EP33" s="2" t="str">
        <f>IF(EP$32="","",MINDS!$C$34)</f>
        <v/>
      </c>
      <c r="EQ33" s="2" t="str">
        <f>IF(EQ$32="","",MINDS!$C$34)</f>
        <v/>
      </c>
      <c r="ER33" s="2" t="str">
        <f>IF(ER$32="","",MINDS!$C$34)</f>
        <v/>
      </c>
      <c r="ES33" s="2" t="str">
        <f>IF(ES$32="","",MINDS!$C$34)</f>
        <v/>
      </c>
      <c r="ET33" s="2" t="str">
        <f>IF(ET$32="","",MINDS!$C$34)</f>
        <v/>
      </c>
      <c r="EU33" s="2" t="str">
        <f>IF(EU$32="","",MINDS!$C$34)</f>
        <v/>
      </c>
      <c r="EV33" s="2" t="str">
        <f>IF(EV$32="","",MINDS!$C$34)</f>
        <v/>
      </c>
      <c r="EW33" s="2" t="str">
        <f>IF(EW$32="","",MINDS!$C$34)</f>
        <v/>
      </c>
      <c r="EX33" s="2" t="str">
        <f>IF(EX$32="","",MINDS!$C$34)</f>
        <v/>
      </c>
      <c r="EY33" s="2" t="str">
        <f>IF(EY$32="","",MINDS!$C$34)</f>
        <v/>
      </c>
      <c r="EZ33" s="2" t="str">
        <f>IF(EZ$32="","",MINDS!$C$34)</f>
        <v/>
      </c>
      <c r="FA33" s="2" t="str">
        <f>IF(FA$32="","",MINDS!$C$34)</f>
        <v/>
      </c>
      <c r="FB33" s="2" t="str">
        <f>IF(FB$32="","",MINDS!$C$34)</f>
        <v/>
      </c>
      <c r="FC33" s="2" t="str">
        <f>IF(FC$32="","",MINDS!$C$34)</f>
        <v/>
      </c>
      <c r="FD33" s="2" t="str">
        <f>IF(FD$32="","",MINDS!$C$34)</f>
        <v/>
      </c>
      <c r="FE33" s="2" t="str">
        <f>IF(FE$32="","",MINDS!$C$34)</f>
        <v/>
      </c>
      <c r="FF33" s="2" t="str">
        <f>IF(FF$32="","",MINDS!$C$34)</f>
        <v/>
      </c>
      <c r="FG33" s="2" t="str">
        <f>IF(FG$32="","",MINDS!$C$34)</f>
        <v/>
      </c>
      <c r="FH33" s="2" t="str">
        <f>IF(FH$32="","",MINDS!$C$34)</f>
        <v/>
      </c>
      <c r="FI33" s="2" t="str">
        <f>IF(FI$32="","",MINDS!$C$34)</f>
        <v/>
      </c>
      <c r="FJ33" s="2" t="str">
        <f>IF(FJ$32="","",MINDS!$C$34)</f>
        <v/>
      </c>
      <c r="FK33" s="2" t="str">
        <f>IF(FK$32="","",MINDS!$C$34)</f>
        <v/>
      </c>
      <c r="FL33" s="2" t="str">
        <f>IF(FL$32="","",MINDS!$C$34)</f>
        <v/>
      </c>
      <c r="FM33" s="2" t="str">
        <f>IF(FM$32="","",MINDS!$C$34)</f>
        <v/>
      </c>
      <c r="FN33" s="2" t="str">
        <f>IF(FN$32="","",MINDS!$C$34)</f>
        <v/>
      </c>
      <c r="FO33" s="2" t="str">
        <f>IF(FO$32="","",MINDS!$C$34)</f>
        <v/>
      </c>
      <c r="FP33" s="2" t="str">
        <f>IF(FP$32="","",MINDS!$C$34)</f>
        <v/>
      </c>
      <c r="FQ33" s="2" t="str">
        <f>IF(FQ$32="","",MINDS!$C$34)</f>
        <v/>
      </c>
      <c r="FR33" s="2" t="str">
        <f>IF(FR$32="","",MINDS!$C$34)</f>
        <v/>
      </c>
      <c r="FS33" s="2" t="str">
        <f>IF(FS$32="","",MINDS!$C$34)</f>
        <v/>
      </c>
      <c r="FT33" s="2" t="str">
        <f>IF(FT$32="","",MINDS!$C$34)</f>
        <v/>
      </c>
      <c r="FU33" s="2" t="str">
        <f>IF(FU$32="","",MINDS!$C$34)</f>
        <v/>
      </c>
      <c r="FV33" s="2" t="str">
        <f>IF(FV$32="","",MINDS!$C$34)</f>
        <v/>
      </c>
      <c r="FW33" s="2" t="str">
        <f>IF(FW$32="","",MINDS!$C$34)</f>
        <v/>
      </c>
      <c r="FX33" s="2" t="str">
        <f>IF(FX$32="","",MINDS!$C$34)</f>
        <v/>
      </c>
      <c r="FY33" s="2" t="str">
        <f>IF(FY$32="","",MINDS!$C$34)</f>
        <v/>
      </c>
      <c r="FZ33" s="2" t="str">
        <f>IF(FZ$32="","",MINDS!$C$34)</f>
        <v/>
      </c>
      <c r="GA33" s="2" t="str">
        <f>IF(GA$32="","",MINDS!$C$34)</f>
        <v/>
      </c>
      <c r="GB33" s="2" t="str">
        <f>IF(GB$32="","",MINDS!$C$34)</f>
        <v/>
      </c>
      <c r="GC33" s="2" t="str">
        <f>IF(GC$32="","",MINDS!$C$34)</f>
        <v/>
      </c>
      <c r="GD33" s="2" t="str">
        <f>IF(GD$32="","",MINDS!$C$34)</f>
        <v/>
      </c>
      <c r="GE33" s="2" t="str">
        <f>IF(GE$32="","",MINDS!$C$34)</f>
        <v/>
      </c>
      <c r="GF33" s="2" t="str">
        <f>IF(GF$32="","",MINDS!$C$34)</f>
        <v/>
      </c>
      <c r="GG33" s="2" t="str">
        <f>IF(GG$32="","",MINDS!$C$34)</f>
        <v/>
      </c>
      <c r="GH33" s="2" t="str">
        <f>IF(GH$32="","",MINDS!$C$34)</f>
        <v/>
      </c>
      <c r="GI33" s="2" t="str">
        <f>IF(GI$32="","",MINDS!$C$34)</f>
        <v/>
      </c>
      <c r="GJ33" s="2" t="str">
        <f>IF(GJ$32="","",MINDS!$C$34)</f>
        <v/>
      </c>
      <c r="GK33" s="2" t="str">
        <f>IF(GK$32="","",MINDS!$C$34)</f>
        <v/>
      </c>
      <c r="GL33" s="2" t="str">
        <f>IF(GL$32="","",MINDS!$C$34)</f>
        <v/>
      </c>
      <c r="GM33" s="2" t="str">
        <f>IF(GM$32="","",MINDS!$C$34)</f>
        <v/>
      </c>
      <c r="GN33" s="2" t="str">
        <f>IF(GN$32="","",MINDS!$C$34)</f>
        <v/>
      </c>
      <c r="GO33" s="2" t="str">
        <f>IF(GO$32="","",MINDS!$C$34)</f>
        <v/>
      </c>
      <c r="GP33" s="2" t="str">
        <f>IF(GP$32="","",MINDS!$C$34)</f>
        <v/>
      </c>
      <c r="GQ33" s="2" t="str">
        <f>IF(GQ$32="","",MINDS!$C$34)</f>
        <v/>
      </c>
      <c r="GR33" s="2" t="str">
        <f>IF(GR$32="","",MINDS!$C$34)</f>
        <v/>
      </c>
      <c r="GS33" s="2" t="str">
        <f>IF(GS$32="","",MINDS!$C$34)</f>
        <v/>
      </c>
      <c r="GT33" s="2" t="str">
        <f>IF(GT$32="","",MINDS!$C$34)</f>
        <v/>
      </c>
      <c r="GU33" s="2" t="str">
        <f>IF(GU$32="","",MINDS!$C$34)</f>
        <v/>
      </c>
      <c r="GV33" s="2" t="str">
        <f>IF(GV$32="","",MINDS!$C$34)</f>
        <v/>
      </c>
      <c r="GW33" s="2" t="str">
        <f>IF(GW$32="","",MINDS!$C$34)</f>
        <v/>
      </c>
      <c r="GX33" s="2" t="str">
        <f>IF(GX$32="","",MINDS!$C$34)</f>
        <v/>
      </c>
      <c r="GY33" s="2" t="str">
        <f>IF(GY$32="","",MINDS!$C$34)</f>
        <v/>
      </c>
      <c r="GZ33" s="2" t="str">
        <f>IF(GZ$32="","",MINDS!$C$34)</f>
        <v/>
      </c>
      <c r="HA33" s="2" t="str">
        <f>IF(HA$32="","",MINDS!$C$34)</f>
        <v/>
      </c>
      <c r="HB33" s="2" t="str">
        <f>IF(HB$32="","",MINDS!$C$34)</f>
        <v/>
      </c>
      <c r="HC33" s="2" t="str">
        <f>IF(HC$32="","",MINDS!$C$34)</f>
        <v/>
      </c>
      <c r="HD33" s="2" t="str">
        <f>IF(HD$32="","",MINDS!$C$34)</f>
        <v/>
      </c>
      <c r="HE33" s="2" t="str">
        <f>IF(HE$32="","",MINDS!$C$34)</f>
        <v/>
      </c>
      <c r="HF33" s="2" t="str">
        <f>IF(HF$32="","",MINDS!$C$34)</f>
        <v/>
      </c>
      <c r="HG33" s="2" t="str">
        <f>IF(HG$32="","",MINDS!$C$34)</f>
        <v/>
      </c>
      <c r="HH33" s="2" t="str">
        <f>IF(HH$32="","",MINDS!$C$34)</f>
        <v/>
      </c>
      <c r="HI33" s="2" t="str">
        <f>IF(HI$32="","",MINDS!$C$34)</f>
        <v/>
      </c>
      <c r="HJ33" s="2" t="str">
        <f>IF(HJ$32="","",MINDS!$C$34)</f>
        <v/>
      </c>
      <c r="HK33" s="2" t="str">
        <f>IF(HK$32="","",MINDS!$C$34)</f>
        <v/>
      </c>
      <c r="HL33" s="2" t="str">
        <f>IF(HL$32="","",MINDS!$C$34)</f>
        <v/>
      </c>
      <c r="HM33" s="2" t="str">
        <f>IF(HM$32="","",MINDS!$C$34)</f>
        <v/>
      </c>
      <c r="HN33" s="2" t="str">
        <f>IF(HN$32="","",MINDS!$C$34)</f>
        <v/>
      </c>
      <c r="HO33" s="2" t="str">
        <f>IF(HO$32="","",MINDS!$C$34)</f>
        <v/>
      </c>
      <c r="HP33" s="2" t="str">
        <f>IF(HP$32="","",MINDS!$C$34)</f>
        <v/>
      </c>
      <c r="HQ33" s="2" t="str">
        <f>IF(HQ$32="","",MINDS!$C$34)</f>
        <v/>
      </c>
      <c r="HR33" s="2" t="str">
        <f>IF(HR$32="","",MINDS!$C$34)</f>
        <v/>
      </c>
      <c r="HS33" s="2" t="str">
        <f>IF(HS$32="","",MINDS!$C$34)</f>
        <v/>
      </c>
      <c r="HT33" s="2" t="str">
        <f>IF(HT$32="","",MINDS!$C$34)</f>
        <v/>
      </c>
      <c r="HU33" s="2" t="str">
        <f>IF(HU$32="","",MINDS!$C$34)</f>
        <v/>
      </c>
      <c r="HV33" s="2" t="str">
        <f>IF(HV$32="","",MINDS!$C$34)</f>
        <v/>
      </c>
      <c r="HW33" s="2" t="str">
        <f>IF(HW$32="","",MINDS!$C$34)</f>
        <v/>
      </c>
      <c r="HX33" s="2" t="str">
        <f>IF(HX$32="","",MINDS!$C$34)</f>
        <v/>
      </c>
      <c r="HY33" s="2" t="str">
        <f>IF(HY$32="","",MINDS!$C$34)</f>
        <v/>
      </c>
      <c r="HZ33" s="2" t="str">
        <f>IF(HZ$32="","",MINDS!$C$34)</f>
        <v/>
      </c>
      <c r="IA33" s="2" t="str">
        <f>IF(IA$32="","",MINDS!$C$34)</f>
        <v/>
      </c>
      <c r="IB33" s="2" t="str">
        <f>IF(IB$32="","",MINDS!$C$34)</f>
        <v/>
      </c>
      <c r="IC33" s="2" t="str">
        <f>IF(IC$32="","",MINDS!$C$34)</f>
        <v/>
      </c>
      <c r="ID33" s="2" t="str">
        <f>IF(ID$32="","",MINDS!$C$34)</f>
        <v/>
      </c>
      <c r="IE33" s="2" t="str">
        <f>IF(IE$32="","",MINDS!$C$34)</f>
        <v/>
      </c>
      <c r="IF33" s="2" t="str">
        <f>IF(IF$32="","",MINDS!$C$34)</f>
        <v/>
      </c>
      <c r="IG33" s="2" t="str">
        <f>IF(IG$32="","",MINDS!$C$34)</f>
        <v/>
      </c>
      <c r="IH33" s="2" t="str">
        <f>IF(IH$32="","",MINDS!$C$34)</f>
        <v/>
      </c>
      <c r="II33" s="2" t="str">
        <f>IF(II$32="","",MINDS!$C$34)</f>
        <v/>
      </c>
      <c r="IJ33" s="2" t="str">
        <f>IF(IJ$32="","",MINDS!$C$34)</f>
        <v/>
      </c>
      <c r="IK33" s="2" t="str">
        <f>IF(IK$32="","",MINDS!$C$34)</f>
        <v/>
      </c>
      <c r="IL33" s="2" t="str">
        <f>IF(IL$32="","",MINDS!$C$34)</f>
        <v/>
      </c>
      <c r="IM33" s="2" t="str">
        <f>IF(IM$32="","",MINDS!$C$34)</f>
        <v/>
      </c>
      <c r="IN33" s="2" t="str">
        <f>IF(IN$32="","",MINDS!$C$34)</f>
        <v/>
      </c>
      <c r="IO33" s="2" t="str">
        <f>IF(IO$32="","",MINDS!$C$34)</f>
        <v/>
      </c>
      <c r="IP33" s="2" t="str">
        <f>IF(IP$32="","",MINDS!$C$34)</f>
        <v/>
      </c>
      <c r="IQ33" s="2" t="str">
        <f>IF(IQ$32="","",MINDS!$C$34)</f>
        <v/>
      </c>
      <c r="IR33" s="2" t="str">
        <f>IF(IR$32="","",MINDS!$C$34)</f>
        <v/>
      </c>
      <c r="IS33" s="2" t="str">
        <f>IF(IS$32="","",MINDS!$C$34)</f>
        <v/>
      </c>
      <c r="IT33" s="2" t="str">
        <f>IF(IT$32="","",MINDS!$C$34)</f>
        <v/>
      </c>
      <c r="IU33" s="2" t="str">
        <f>IF(IU$32="","",MINDS!$C$34)</f>
        <v/>
      </c>
      <c r="IV33" s="2" t="str">
        <f>IF(IV$32="","",MINDS!$C$34)</f>
        <v/>
      </c>
    </row>
    <row r="34" spans="1:256" x14ac:dyDescent="0.2">
      <c r="A34" s="3" t="s">
        <v>2</v>
      </c>
      <c r="C34" s="2" t="str">
        <f>IF(C$32="","",IF(MINDS!$C$35="","",MINDS!$C$35))</f>
        <v/>
      </c>
      <c r="D34" s="2" t="str">
        <f>IF(D$32="","",IF(MINDS!$C$35="","",MINDS!$C$35))</f>
        <v/>
      </c>
      <c r="E34" s="2" t="str">
        <f>IF(E$32="","",IF(MINDS!$C$35="","",MINDS!$C$35))</f>
        <v/>
      </c>
      <c r="F34" s="2" t="str">
        <f>IF(F$32="","",IF(MINDS!$C$35="","",MINDS!$C$35))</f>
        <v/>
      </c>
      <c r="G34" s="2" t="str">
        <f>IF(G$32="","",IF(MINDS!$C$35="","",MINDS!$C$35))</f>
        <v/>
      </c>
      <c r="H34" s="2" t="str">
        <f>IF(H$32="","",IF(MINDS!$C$35="","",MINDS!$C$35))</f>
        <v/>
      </c>
      <c r="I34" s="2" t="str">
        <f>IF(I$32="","",IF(MINDS!$C$35="","",MINDS!$C$35))</f>
        <v/>
      </c>
      <c r="J34" s="2" t="str">
        <f>IF(J$32="","",IF(MINDS!$C$35="","",MINDS!$C$35))</f>
        <v/>
      </c>
      <c r="K34" s="2" t="str">
        <f>IF(K$32="","",IF(MINDS!$C$35="","",MINDS!$C$35))</f>
        <v/>
      </c>
      <c r="L34" s="2" t="str">
        <f>IF(L$32="","",IF(MINDS!$C$35="","",MINDS!$C$35))</f>
        <v/>
      </c>
      <c r="M34" s="2" t="str">
        <f>IF(M$32="","",IF(MINDS!$C$35="","",MINDS!$C$35))</f>
        <v/>
      </c>
      <c r="N34" s="2" t="str">
        <f>IF(N$32="","",IF(MINDS!$C$35="","",MINDS!$C$35))</f>
        <v/>
      </c>
      <c r="O34" s="2" t="str">
        <f>IF(O$32="","",IF(MINDS!$C$35="","",MINDS!$C$35))</f>
        <v/>
      </c>
      <c r="P34" s="2" t="str">
        <f>IF(P$32="","",IF(MINDS!$C$35="","",MINDS!$C$35))</f>
        <v/>
      </c>
      <c r="Q34" s="2" t="str">
        <f>IF(Q$32="","",IF(MINDS!$C$35="","",MINDS!$C$35))</f>
        <v/>
      </c>
      <c r="R34" s="2" t="str">
        <f>IF(R$32="","",IF(MINDS!$C$35="","",MINDS!$C$35))</f>
        <v/>
      </c>
      <c r="S34" s="2" t="str">
        <f>IF(S$32="","",IF(MINDS!$C$35="","",MINDS!$C$35))</f>
        <v/>
      </c>
      <c r="T34" s="2" t="str">
        <f>IF(T$32="","",IF(MINDS!$C$35="","",MINDS!$C$35))</f>
        <v/>
      </c>
      <c r="U34" s="2" t="str">
        <f>IF(U$32="","",IF(MINDS!$C$35="","",MINDS!$C$35))</f>
        <v/>
      </c>
      <c r="V34" s="2" t="str">
        <f>IF(V$32="","",IF(MINDS!$C$35="","",MINDS!$C$35))</f>
        <v/>
      </c>
      <c r="W34" s="2" t="str">
        <f>IF(W$32="","",IF(MINDS!$C$35="","",MINDS!$C$35))</f>
        <v/>
      </c>
      <c r="X34" s="2" t="str">
        <f>IF(X$32="","",IF(MINDS!$C$35="","",MINDS!$C$35))</f>
        <v/>
      </c>
      <c r="Y34" s="2" t="str">
        <f>IF(Y$32="","",IF(MINDS!$C$35="","",MINDS!$C$35))</f>
        <v/>
      </c>
      <c r="Z34" s="2" t="str">
        <f>IF(Z$32="","",IF(MINDS!$C$35="","",MINDS!$C$35))</f>
        <v/>
      </c>
      <c r="AA34" s="2" t="str">
        <f>IF(AA$32="","",IF(MINDS!$C$35="","",MINDS!$C$35))</f>
        <v/>
      </c>
      <c r="AB34" s="2" t="str">
        <f>IF(AB$32="","",IF(MINDS!$C$35="","",MINDS!$C$35))</f>
        <v/>
      </c>
      <c r="AC34" s="2" t="str">
        <f>IF(AC$32="","",IF(MINDS!$C$35="","",MINDS!$C$35))</f>
        <v/>
      </c>
      <c r="AD34" s="2" t="str">
        <f>IF(AD$32="","",IF(MINDS!$C$35="","",MINDS!$C$35))</f>
        <v/>
      </c>
      <c r="AE34" s="2" t="str">
        <f>IF(AE$32="","",IF(MINDS!$C$35="","",MINDS!$C$35))</f>
        <v/>
      </c>
      <c r="AF34" s="2" t="str">
        <f>IF(AF$32="","",IF(MINDS!$C$35="","",MINDS!$C$35))</f>
        <v/>
      </c>
      <c r="AG34" s="2" t="str">
        <f>IF(AG$32="","",IF(MINDS!$C$35="","",MINDS!$C$35))</f>
        <v/>
      </c>
      <c r="AH34" s="2" t="str">
        <f>IF(AH$32="","",IF(MINDS!$C$35="","",MINDS!$C$35))</f>
        <v/>
      </c>
      <c r="AI34" s="2" t="str">
        <f>IF(AI$32="","",IF(MINDS!$C$35="","",MINDS!$C$35))</f>
        <v/>
      </c>
      <c r="AJ34" s="2" t="str">
        <f>IF(AJ$32="","",IF(MINDS!$C$35="","",MINDS!$C$35))</f>
        <v/>
      </c>
      <c r="AK34" s="2" t="str">
        <f>IF(AK$32="","",IF(MINDS!$C$35="","",MINDS!$C$35))</f>
        <v/>
      </c>
      <c r="AL34" s="2" t="str">
        <f>IF(AL$32="","",IF(MINDS!$C$35="","",MINDS!$C$35))</f>
        <v/>
      </c>
      <c r="AM34" s="2" t="str">
        <f>IF(AM$32="","",IF(MINDS!$C$35="","",MINDS!$C$35))</f>
        <v/>
      </c>
      <c r="AN34" s="2" t="str">
        <f>IF(AN$32="","",IF(MINDS!$C$35="","",MINDS!$C$35))</f>
        <v/>
      </c>
      <c r="AO34" s="2" t="str">
        <f>IF(AO$32="","",IF(MINDS!$C$35="","",MINDS!$C$35))</f>
        <v/>
      </c>
      <c r="AP34" s="2" t="str">
        <f>IF(AP$32="","",IF(MINDS!$C$35="","",MINDS!$C$35))</f>
        <v/>
      </c>
      <c r="AQ34" s="2" t="str">
        <f>IF(AQ$32="","",IF(MINDS!$C$35="","",MINDS!$C$35))</f>
        <v/>
      </c>
      <c r="AR34" s="2" t="str">
        <f>IF(AR$32="","",IF(MINDS!$C$35="","",MINDS!$C$35))</f>
        <v/>
      </c>
      <c r="AS34" s="2" t="str">
        <f>IF(AS$32="","",IF(MINDS!$C$35="","",MINDS!$C$35))</f>
        <v/>
      </c>
      <c r="AT34" s="2" t="str">
        <f>IF(AT$32="","",IF(MINDS!$C$35="","",MINDS!$C$35))</f>
        <v/>
      </c>
      <c r="AU34" s="2" t="str">
        <f>IF(AU$32="","",IF(MINDS!$C$35="","",MINDS!$C$35))</f>
        <v/>
      </c>
      <c r="AV34" s="2" t="str">
        <f>IF(AV$32="","",IF(MINDS!$C$35="","",MINDS!$C$35))</f>
        <v/>
      </c>
      <c r="AW34" s="2" t="str">
        <f>IF(AW$32="","",IF(MINDS!$C$35="","",MINDS!$C$35))</f>
        <v/>
      </c>
      <c r="AX34" s="2" t="str">
        <f>IF(AX$32="","",IF(MINDS!$C$35="","",MINDS!$C$35))</f>
        <v/>
      </c>
      <c r="AY34" s="2" t="str">
        <f>IF(AY$32="","",IF(MINDS!$C$35="","",MINDS!$C$35))</f>
        <v/>
      </c>
      <c r="AZ34" s="2" t="str">
        <f>IF(AZ$32="","",IF(MINDS!$C$35="","",MINDS!$C$35))</f>
        <v/>
      </c>
      <c r="BA34" s="2" t="str">
        <f>IF(BA$32="","",IF(MINDS!$C$35="","",MINDS!$C$35))</f>
        <v/>
      </c>
      <c r="BB34" s="2" t="str">
        <f>IF(BB$32="","",IF(MINDS!$C$35="","",MINDS!$C$35))</f>
        <v/>
      </c>
      <c r="BC34" s="2" t="str">
        <f>IF(BC$32="","",IF(MINDS!$C$35="","",MINDS!$C$35))</f>
        <v/>
      </c>
      <c r="BD34" s="2" t="str">
        <f>IF(BD$32="","",IF(MINDS!$C$35="","",MINDS!$C$35))</f>
        <v/>
      </c>
      <c r="BE34" s="2" t="str">
        <f>IF(BE$32="","",IF(MINDS!$C$35="","",MINDS!$C$35))</f>
        <v/>
      </c>
      <c r="BF34" s="2" t="str">
        <f>IF(BF$32="","",IF(MINDS!$C$35="","",MINDS!$C$35))</f>
        <v/>
      </c>
      <c r="BG34" s="2" t="str">
        <f>IF(BG$32="","",IF(MINDS!$C$35="","",MINDS!$C$35))</f>
        <v/>
      </c>
      <c r="BH34" s="2" t="str">
        <f>IF(BH$32="","",IF(MINDS!$C$35="","",MINDS!$C$35))</f>
        <v/>
      </c>
      <c r="BI34" s="2" t="str">
        <f>IF(BI$32="","",IF(MINDS!$C$35="","",MINDS!$C$35))</f>
        <v/>
      </c>
      <c r="BJ34" s="2" t="str">
        <f>IF(BJ$32="","",IF(MINDS!$C$35="","",MINDS!$C$35))</f>
        <v/>
      </c>
      <c r="BK34" s="2" t="str">
        <f>IF(BK$32="","",IF(MINDS!$C$35="","",MINDS!$C$35))</f>
        <v/>
      </c>
      <c r="BL34" s="2" t="str">
        <f>IF(BL$32="","",IF(MINDS!$C$35="","",MINDS!$C$35))</f>
        <v/>
      </c>
      <c r="BM34" s="2" t="str">
        <f>IF(BM$32="","",IF(MINDS!$C$35="","",MINDS!$C$35))</f>
        <v/>
      </c>
      <c r="BN34" s="2" t="str">
        <f>IF(BN$32="","",IF(MINDS!$C$35="","",MINDS!$C$35))</f>
        <v/>
      </c>
      <c r="BO34" s="2" t="str">
        <f>IF(BO$32="","",IF(MINDS!$C$35="","",MINDS!$C$35))</f>
        <v/>
      </c>
      <c r="BP34" s="2" t="str">
        <f>IF(BP$32="","",IF(MINDS!$C$35="","",MINDS!$C$35))</f>
        <v/>
      </c>
      <c r="BQ34" s="2" t="str">
        <f>IF(BQ$32="","",IF(MINDS!$C$35="","",MINDS!$C$35))</f>
        <v/>
      </c>
      <c r="BR34" s="2" t="str">
        <f>IF(BR$32="","",IF(MINDS!$C$35="","",MINDS!$C$35))</f>
        <v/>
      </c>
      <c r="BS34" s="2" t="str">
        <f>IF(BS$32="","",IF(MINDS!$C$35="","",MINDS!$C$35))</f>
        <v/>
      </c>
      <c r="BT34" s="2" t="str">
        <f>IF(BT$32="","",IF(MINDS!$C$35="","",MINDS!$C$35))</f>
        <v/>
      </c>
      <c r="BU34" s="2" t="str">
        <f>IF(BU$32="","",IF(MINDS!$C$35="","",MINDS!$C$35))</f>
        <v/>
      </c>
      <c r="BV34" s="2" t="str">
        <f>IF(BV$32="","",IF(MINDS!$C$35="","",MINDS!$C$35))</f>
        <v/>
      </c>
      <c r="BW34" s="2" t="str">
        <f>IF(BW$32="","",IF(MINDS!$C$35="","",MINDS!$C$35))</f>
        <v/>
      </c>
      <c r="BX34" s="2" t="str">
        <f>IF(BX$32="","",IF(MINDS!$C$35="","",MINDS!$C$35))</f>
        <v/>
      </c>
      <c r="BY34" s="2" t="str">
        <f>IF(BY$32="","",IF(MINDS!$C$35="","",MINDS!$C$35))</f>
        <v/>
      </c>
      <c r="BZ34" s="2" t="str">
        <f>IF(BZ$32="","",IF(MINDS!$C$35="","",MINDS!$C$35))</f>
        <v/>
      </c>
      <c r="CA34" s="2" t="str">
        <f>IF(CA$32="","",IF(MINDS!$C$35="","",MINDS!$C$35))</f>
        <v/>
      </c>
      <c r="CB34" s="2" t="str">
        <f>IF(CB$32="","",IF(MINDS!$C$35="","",MINDS!$C$35))</f>
        <v/>
      </c>
      <c r="CC34" s="2" t="str">
        <f>IF(CC$32="","",IF(MINDS!$C$35="","",MINDS!$C$35))</f>
        <v/>
      </c>
      <c r="CD34" s="2" t="str">
        <f>IF(CD$32="","",IF(MINDS!$C$35="","",MINDS!$C$35))</f>
        <v/>
      </c>
      <c r="CE34" s="2" t="str">
        <f>IF(CE$32="","",IF(MINDS!$C$35="","",MINDS!$C$35))</f>
        <v/>
      </c>
      <c r="CF34" s="2" t="str">
        <f>IF(CF$32="","",IF(MINDS!$C$35="","",MINDS!$C$35))</f>
        <v/>
      </c>
      <c r="CG34" s="2" t="str">
        <f>IF(CG$32="","",IF(MINDS!$C$35="","",MINDS!$C$35))</f>
        <v/>
      </c>
      <c r="CH34" s="2" t="str">
        <f>IF(CH$32="","",IF(MINDS!$C$35="","",MINDS!$C$35))</f>
        <v/>
      </c>
      <c r="CI34" s="2" t="str">
        <f>IF(CI$32="","",IF(MINDS!$C$35="","",MINDS!$C$35))</f>
        <v/>
      </c>
      <c r="CJ34" s="2" t="str">
        <f>IF(CJ$32="","",IF(MINDS!$C$35="","",MINDS!$C$35))</f>
        <v/>
      </c>
      <c r="CK34" s="2" t="str">
        <f>IF(CK$32="","",IF(MINDS!$C$35="","",MINDS!$C$35))</f>
        <v/>
      </c>
      <c r="CL34" s="2" t="str">
        <f>IF(CL$32="","",IF(MINDS!$C$35="","",MINDS!$C$35))</f>
        <v/>
      </c>
      <c r="CM34" s="2" t="str">
        <f>IF(CM$32="","",IF(MINDS!$C$35="","",MINDS!$C$35))</f>
        <v/>
      </c>
      <c r="CN34" s="2" t="str">
        <f>IF(CN$32="","",IF(MINDS!$C$35="","",MINDS!$C$35))</f>
        <v/>
      </c>
      <c r="CO34" s="2" t="str">
        <f>IF(CO$32="","",IF(MINDS!$C$35="","",MINDS!$C$35))</f>
        <v/>
      </c>
      <c r="CP34" s="2" t="str">
        <f>IF(CP$32="","",IF(MINDS!$C$35="","",MINDS!$C$35))</f>
        <v/>
      </c>
      <c r="CQ34" s="2" t="str">
        <f>IF(CQ$32="","",IF(MINDS!$C$35="","",MINDS!$C$35))</f>
        <v/>
      </c>
      <c r="CR34" s="2" t="str">
        <f>IF(CR$32="","",IF(MINDS!$C$35="","",MINDS!$C$35))</f>
        <v/>
      </c>
      <c r="CS34" s="2" t="str">
        <f>IF(CS$32="","",IF(MINDS!$C$35="","",MINDS!$C$35))</f>
        <v/>
      </c>
      <c r="CT34" s="2" t="str">
        <f>IF(CT$32="","",IF(MINDS!$C$35="","",MINDS!$C$35))</f>
        <v/>
      </c>
      <c r="CU34" s="2" t="str">
        <f>IF(CU$32="","",IF(MINDS!$C$35="","",MINDS!$C$35))</f>
        <v/>
      </c>
      <c r="CV34" s="2" t="str">
        <f>IF(CV$32="","",IF(MINDS!$C$35="","",MINDS!$C$35))</f>
        <v/>
      </c>
      <c r="CW34" s="2" t="str">
        <f>IF(CW$32="","",IF(MINDS!$C$35="","",MINDS!$C$35))</f>
        <v/>
      </c>
      <c r="CX34" s="2" t="str">
        <f>IF(CX$32="","",IF(MINDS!$C$35="","",MINDS!$C$35))</f>
        <v/>
      </c>
      <c r="CY34" s="2" t="str">
        <f>IF(CY$32="","",IF(MINDS!$C$35="","",MINDS!$C$35))</f>
        <v/>
      </c>
      <c r="CZ34" s="2" t="str">
        <f>IF(CZ$32="","",IF(MINDS!$C$35="","",MINDS!$C$35))</f>
        <v/>
      </c>
      <c r="DA34" s="2" t="str">
        <f>IF(DA$32="","",IF(MINDS!$C$35="","",MINDS!$C$35))</f>
        <v/>
      </c>
      <c r="DB34" s="2" t="str">
        <f>IF(DB$32="","",IF(MINDS!$C$35="","",MINDS!$C$35))</f>
        <v/>
      </c>
      <c r="DC34" s="2" t="str">
        <f>IF(DC$32="","",IF(MINDS!$C$35="","",MINDS!$C$35))</f>
        <v/>
      </c>
      <c r="DD34" s="2" t="str">
        <f>IF(DD$32="","",IF(MINDS!$C$35="","",MINDS!$C$35))</f>
        <v/>
      </c>
      <c r="DE34" s="2" t="str">
        <f>IF(DE$32="","",IF(MINDS!$C$35="","",MINDS!$C$35))</f>
        <v/>
      </c>
      <c r="DF34" s="2" t="str">
        <f>IF(DF$32="","",IF(MINDS!$C$35="","",MINDS!$C$35))</f>
        <v/>
      </c>
      <c r="DG34" s="2" t="str">
        <f>IF(DG$32="","",IF(MINDS!$C$35="","",MINDS!$C$35))</f>
        <v/>
      </c>
      <c r="DH34" s="2" t="str">
        <f>IF(DH$32="","",IF(MINDS!$C$35="","",MINDS!$C$35))</f>
        <v/>
      </c>
      <c r="DI34" s="2" t="str">
        <f>IF(DI$32="","",IF(MINDS!$C$35="","",MINDS!$C$35))</f>
        <v/>
      </c>
      <c r="DJ34" s="2" t="str">
        <f>IF(DJ$32="","",IF(MINDS!$C$35="","",MINDS!$C$35))</f>
        <v/>
      </c>
      <c r="DK34" s="2" t="str">
        <f>IF(DK$32="","",IF(MINDS!$C$35="","",MINDS!$C$35))</f>
        <v/>
      </c>
      <c r="DL34" s="2" t="str">
        <f>IF(DL$32="","",IF(MINDS!$C$35="","",MINDS!$C$35))</f>
        <v/>
      </c>
      <c r="DM34" s="2" t="str">
        <f>IF(DM$32="","",IF(MINDS!$C$35="","",MINDS!$C$35))</f>
        <v/>
      </c>
      <c r="DN34" s="2" t="str">
        <f>IF(DN$32="","",IF(MINDS!$C$35="","",MINDS!$C$35))</f>
        <v/>
      </c>
      <c r="DO34" s="2" t="str">
        <f>IF(DO$32="","",IF(MINDS!$C$35="","",MINDS!$C$35))</f>
        <v/>
      </c>
      <c r="DP34" s="2" t="str">
        <f>IF(DP$32="","",IF(MINDS!$C$35="","",MINDS!$C$35))</f>
        <v/>
      </c>
      <c r="DQ34" s="2" t="str">
        <f>IF(DQ$32="","",IF(MINDS!$C$35="","",MINDS!$C$35))</f>
        <v/>
      </c>
      <c r="DR34" s="2" t="str">
        <f>IF(DR$32="","",IF(MINDS!$C$35="","",MINDS!$C$35))</f>
        <v/>
      </c>
      <c r="DS34" s="2" t="str">
        <f>IF(DS$32="","",IF(MINDS!$C$35="","",MINDS!$C$35))</f>
        <v/>
      </c>
      <c r="DT34" s="2" t="str">
        <f>IF(DT$32="","",IF(MINDS!$C$35="","",MINDS!$C$35))</f>
        <v/>
      </c>
      <c r="DU34" s="2" t="str">
        <f>IF(DU$32="","",IF(MINDS!$C$35="","",MINDS!$C$35))</f>
        <v/>
      </c>
      <c r="DV34" s="2" t="str">
        <f>IF(DV$32="","",IF(MINDS!$C$35="","",MINDS!$C$35))</f>
        <v/>
      </c>
      <c r="DW34" s="2" t="str">
        <f>IF(DW$32="","",IF(MINDS!$C$35="","",MINDS!$C$35))</f>
        <v/>
      </c>
      <c r="DX34" s="2" t="str">
        <f>IF(DX$32="","",IF(MINDS!$C$35="","",MINDS!$C$35))</f>
        <v/>
      </c>
      <c r="DY34" s="2" t="str">
        <f>IF(DY$32="","",IF(MINDS!$C$35="","",MINDS!$C$35))</f>
        <v/>
      </c>
      <c r="DZ34" s="2" t="str">
        <f>IF(DZ$32="","",IF(MINDS!$C$35="","",MINDS!$C$35))</f>
        <v/>
      </c>
      <c r="EA34" s="2" t="str">
        <f>IF(EA$32="","",IF(MINDS!$C$35="","",MINDS!$C$35))</f>
        <v/>
      </c>
      <c r="EB34" s="2" t="str">
        <f>IF(EB$32="","",IF(MINDS!$C$35="","",MINDS!$C$35))</f>
        <v/>
      </c>
      <c r="EC34" s="2" t="str">
        <f>IF(EC$32="","",IF(MINDS!$C$35="","",MINDS!$C$35))</f>
        <v/>
      </c>
      <c r="ED34" s="2" t="str">
        <f>IF(ED$32="","",IF(MINDS!$C$35="","",MINDS!$C$35))</f>
        <v/>
      </c>
      <c r="EE34" s="2" t="str">
        <f>IF(EE$32="","",IF(MINDS!$C$35="","",MINDS!$C$35))</f>
        <v/>
      </c>
      <c r="EF34" s="2" t="str">
        <f>IF(EF$32="","",IF(MINDS!$C$35="","",MINDS!$C$35))</f>
        <v/>
      </c>
      <c r="EG34" s="2" t="str">
        <f>IF(EG$32="","",IF(MINDS!$C$35="","",MINDS!$C$35))</f>
        <v/>
      </c>
      <c r="EH34" s="2" t="str">
        <f>IF(EH$32="","",IF(MINDS!$C$35="","",MINDS!$C$35))</f>
        <v/>
      </c>
      <c r="EI34" s="2" t="str">
        <f>IF(EI$32="","",IF(MINDS!$C$35="","",MINDS!$C$35))</f>
        <v/>
      </c>
      <c r="EJ34" s="2" t="str">
        <f>IF(EJ$32="","",IF(MINDS!$C$35="","",MINDS!$C$35))</f>
        <v/>
      </c>
      <c r="EK34" s="2" t="str">
        <f>IF(EK$32="","",IF(MINDS!$C$35="","",MINDS!$C$35))</f>
        <v/>
      </c>
      <c r="EL34" s="2" t="str">
        <f>IF(EL$32="","",IF(MINDS!$C$35="","",MINDS!$C$35))</f>
        <v/>
      </c>
      <c r="EM34" s="2" t="str">
        <f>IF(EM$32="","",IF(MINDS!$C$35="","",MINDS!$C$35))</f>
        <v/>
      </c>
      <c r="EN34" s="2" t="str">
        <f>IF(EN$32="","",IF(MINDS!$C$35="","",MINDS!$C$35))</f>
        <v/>
      </c>
      <c r="EO34" s="2" t="str">
        <f>IF(EO$32="","",IF(MINDS!$C$35="","",MINDS!$C$35))</f>
        <v/>
      </c>
      <c r="EP34" s="2" t="str">
        <f>IF(EP$32="","",IF(MINDS!$C$35="","",MINDS!$C$35))</f>
        <v/>
      </c>
      <c r="EQ34" s="2" t="str">
        <f>IF(EQ$32="","",IF(MINDS!$C$35="","",MINDS!$C$35))</f>
        <v/>
      </c>
      <c r="ER34" s="2" t="str">
        <f>IF(ER$32="","",IF(MINDS!$C$35="","",MINDS!$C$35))</f>
        <v/>
      </c>
      <c r="ES34" s="2" t="str">
        <f>IF(ES$32="","",IF(MINDS!$C$35="","",MINDS!$C$35))</f>
        <v/>
      </c>
      <c r="ET34" s="2" t="str">
        <f>IF(ET$32="","",IF(MINDS!$C$35="","",MINDS!$C$35))</f>
        <v/>
      </c>
      <c r="EU34" s="2" t="str">
        <f>IF(EU$32="","",IF(MINDS!$C$35="","",MINDS!$C$35))</f>
        <v/>
      </c>
      <c r="EV34" s="2" t="str">
        <f>IF(EV$32="","",IF(MINDS!$C$35="","",MINDS!$C$35))</f>
        <v/>
      </c>
      <c r="EW34" s="2" t="str">
        <f>IF(EW$32="","",IF(MINDS!$C$35="","",MINDS!$C$35))</f>
        <v/>
      </c>
      <c r="EX34" s="2" t="str">
        <f>IF(EX$32="","",IF(MINDS!$C$35="","",MINDS!$C$35))</f>
        <v/>
      </c>
      <c r="EY34" s="2" t="str">
        <f>IF(EY$32="","",IF(MINDS!$C$35="","",MINDS!$C$35))</f>
        <v/>
      </c>
      <c r="EZ34" s="2" t="str">
        <f>IF(EZ$32="","",IF(MINDS!$C$35="","",MINDS!$C$35))</f>
        <v/>
      </c>
      <c r="FA34" s="2" t="str">
        <f>IF(FA$32="","",IF(MINDS!$C$35="","",MINDS!$C$35))</f>
        <v/>
      </c>
      <c r="FB34" s="2" t="str">
        <f>IF(FB$32="","",IF(MINDS!$C$35="","",MINDS!$C$35))</f>
        <v/>
      </c>
      <c r="FC34" s="2" t="str">
        <f>IF(FC$32="","",IF(MINDS!$C$35="","",MINDS!$C$35))</f>
        <v/>
      </c>
      <c r="FD34" s="2" t="str">
        <f>IF(FD$32="","",IF(MINDS!$C$35="","",MINDS!$C$35))</f>
        <v/>
      </c>
      <c r="FE34" s="2" t="str">
        <f>IF(FE$32="","",IF(MINDS!$C$35="","",MINDS!$C$35))</f>
        <v/>
      </c>
      <c r="FF34" s="2" t="str">
        <f>IF(FF$32="","",IF(MINDS!$C$35="","",MINDS!$C$35))</f>
        <v/>
      </c>
      <c r="FG34" s="2" t="str">
        <f>IF(FG$32="","",IF(MINDS!$C$35="","",MINDS!$C$35))</f>
        <v/>
      </c>
      <c r="FH34" s="2" t="str">
        <f>IF(FH$32="","",IF(MINDS!$C$35="","",MINDS!$C$35))</f>
        <v/>
      </c>
      <c r="FI34" s="2" t="str">
        <f>IF(FI$32="","",IF(MINDS!$C$35="","",MINDS!$C$35))</f>
        <v/>
      </c>
      <c r="FJ34" s="2" t="str">
        <f>IF(FJ$32="","",IF(MINDS!$C$35="","",MINDS!$C$35))</f>
        <v/>
      </c>
      <c r="FK34" s="2" t="str">
        <f>IF(FK$32="","",IF(MINDS!$C$35="","",MINDS!$C$35))</f>
        <v/>
      </c>
      <c r="FL34" s="2" t="str">
        <f>IF(FL$32="","",IF(MINDS!$C$35="","",MINDS!$C$35))</f>
        <v/>
      </c>
      <c r="FM34" s="2" t="str">
        <f>IF(FM$32="","",IF(MINDS!$C$35="","",MINDS!$C$35))</f>
        <v/>
      </c>
      <c r="FN34" s="2" t="str">
        <f>IF(FN$32="","",IF(MINDS!$C$35="","",MINDS!$C$35))</f>
        <v/>
      </c>
      <c r="FO34" s="2" t="str">
        <f>IF(FO$32="","",IF(MINDS!$C$35="","",MINDS!$C$35))</f>
        <v/>
      </c>
      <c r="FP34" s="2" t="str">
        <f>IF(FP$32="","",IF(MINDS!$C$35="","",MINDS!$C$35))</f>
        <v/>
      </c>
      <c r="FQ34" s="2" t="str">
        <f>IF(FQ$32="","",IF(MINDS!$C$35="","",MINDS!$C$35))</f>
        <v/>
      </c>
      <c r="FR34" s="2" t="str">
        <f>IF(FR$32="","",IF(MINDS!$C$35="","",MINDS!$C$35))</f>
        <v/>
      </c>
      <c r="FS34" s="2" t="str">
        <f>IF(FS$32="","",IF(MINDS!$C$35="","",MINDS!$C$35))</f>
        <v/>
      </c>
      <c r="FT34" s="2" t="str">
        <f>IF(FT$32="","",IF(MINDS!$C$35="","",MINDS!$C$35))</f>
        <v/>
      </c>
      <c r="FU34" s="2" t="str">
        <f>IF(FU$32="","",IF(MINDS!$C$35="","",MINDS!$C$35))</f>
        <v/>
      </c>
      <c r="FV34" s="2" t="str">
        <f>IF(FV$32="","",IF(MINDS!$C$35="","",MINDS!$C$35))</f>
        <v/>
      </c>
      <c r="FW34" s="2" t="str">
        <f>IF(FW$32="","",IF(MINDS!$C$35="","",MINDS!$C$35))</f>
        <v/>
      </c>
      <c r="FX34" s="2" t="str">
        <f>IF(FX$32="","",IF(MINDS!$C$35="","",MINDS!$C$35))</f>
        <v/>
      </c>
      <c r="FY34" s="2" t="str">
        <f>IF(FY$32="","",IF(MINDS!$C$35="","",MINDS!$C$35))</f>
        <v/>
      </c>
      <c r="FZ34" s="2" t="str">
        <f>IF(FZ$32="","",IF(MINDS!$C$35="","",MINDS!$C$35))</f>
        <v/>
      </c>
      <c r="GA34" s="2" t="str">
        <f>IF(GA$32="","",IF(MINDS!$C$35="","",MINDS!$C$35))</f>
        <v/>
      </c>
      <c r="GB34" s="2" t="str">
        <f>IF(GB$32="","",IF(MINDS!$C$35="","",MINDS!$C$35))</f>
        <v/>
      </c>
      <c r="GC34" s="2" t="str">
        <f>IF(GC$32="","",IF(MINDS!$C$35="","",MINDS!$C$35))</f>
        <v/>
      </c>
      <c r="GD34" s="2" t="str">
        <f>IF(GD$32="","",IF(MINDS!$C$35="","",MINDS!$C$35))</f>
        <v/>
      </c>
      <c r="GE34" s="2" t="str">
        <f>IF(GE$32="","",IF(MINDS!$C$35="","",MINDS!$C$35))</f>
        <v/>
      </c>
      <c r="GF34" s="2" t="str">
        <f>IF(GF$32="","",IF(MINDS!$C$35="","",MINDS!$C$35))</f>
        <v/>
      </c>
      <c r="GG34" s="2" t="str">
        <f>IF(GG$32="","",IF(MINDS!$C$35="","",MINDS!$C$35))</f>
        <v/>
      </c>
      <c r="GH34" s="2" t="str">
        <f>IF(GH$32="","",IF(MINDS!$C$35="","",MINDS!$C$35))</f>
        <v/>
      </c>
      <c r="GI34" s="2" t="str">
        <f>IF(GI$32="","",IF(MINDS!$C$35="","",MINDS!$C$35))</f>
        <v/>
      </c>
      <c r="GJ34" s="2" t="str">
        <f>IF(GJ$32="","",IF(MINDS!$C$35="","",MINDS!$C$35))</f>
        <v/>
      </c>
      <c r="GK34" s="2" t="str">
        <f>IF(GK$32="","",IF(MINDS!$C$35="","",MINDS!$C$35))</f>
        <v/>
      </c>
      <c r="GL34" s="2" t="str">
        <f>IF(GL$32="","",IF(MINDS!$C$35="","",MINDS!$C$35))</f>
        <v/>
      </c>
      <c r="GM34" s="2" t="str">
        <f>IF(GM$32="","",IF(MINDS!$C$35="","",MINDS!$C$35))</f>
        <v/>
      </c>
      <c r="GN34" s="2" t="str">
        <f>IF(GN$32="","",IF(MINDS!$C$35="","",MINDS!$C$35))</f>
        <v/>
      </c>
      <c r="GO34" s="2" t="str">
        <f>IF(GO$32="","",IF(MINDS!$C$35="","",MINDS!$C$35))</f>
        <v/>
      </c>
      <c r="GP34" s="2" t="str">
        <f>IF(GP$32="","",IF(MINDS!$C$35="","",MINDS!$C$35))</f>
        <v/>
      </c>
      <c r="GQ34" s="2" t="str">
        <f>IF(GQ$32="","",IF(MINDS!$C$35="","",MINDS!$C$35))</f>
        <v/>
      </c>
      <c r="GR34" s="2" t="str">
        <f>IF(GR$32="","",IF(MINDS!$C$35="","",MINDS!$C$35))</f>
        <v/>
      </c>
      <c r="GS34" s="2" t="str">
        <f>IF(GS$32="","",IF(MINDS!$C$35="","",MINDS!$C$35))</f>
        <v/>
      </c>
      <c r="GT34" s="2" t="str">
        <f>IF(GT$32="","",IF(MINDS!$C$35="","",MINDS!$C$35))</f>
        <v/>
      </c>
      <c r="GU34" s="2" t="str">
        <f>IF(GU$32="","",IF(MINDS!$C$35="","",MINDS!$C$35))</f>
        <v/>
      </c>
      <c r="GV34" s="2" t="str">
        <f>IF(GV$32="","",IF(MINDS!$C$35="","",MINDS!$C$35))</f>
        <v/>
      </c>
      <c r="GW34" s="2" t="str">
        <f>IF(GW$32="","",IF(MINDS!$C$35="","",MINDS!$C$35))</f>
        <v/>
      </c>
      <c r="GX34" s="2" t="str">
        <f>IF(GX$32="","",IF(MINDS!$C$35="","",MINDS!$C$35))</f>
        <v/>
      </c>
      <c r="GY34" s="2" t="str">
        <f>IF(GY$32="","",IF(MINDS!$C$35="","",MINDS!$C$35))</f>
        <v/>
      </c>
      <c r="GZ34" s="2" t="str">
        <f>IF(GZ$32="","",IF(MINDS!$C$35="","",MINDS!$C$35))</f>
        <v/>
      </c>
      <c r="HA34" s="2" t="str">
        <f>IF(HA$32="","",IF(MINDS!$C$35="","",MINDS!$C$35))</f>
        <v/>
      </c>
      <c r="HB34" s="2" t="str">
        <f>IF(HB$32="","",IF(MINDS!$C$35="","",MINDS!$C$35))</f>
        <v/>
      </c>
      <c r="HC34" s="2" t="str">
        <f>IF(HC$32="","",IF(MINDS!$C$35="","",MINDS!$C$35))</f>
        <v/>
      </c>
      <c r="HD34" s="2" t="str">
        <f>IF(HD$32="","",IF(MINDS!$C$35="","",MINDS!$C$35))</f>
        <v/>
      </c>
      <c r="HE34" s="2" t="str">
        <f>IF(HE$32="","",IF(MINDS!$C$35="","",MINDS!$C$35))</f>
        <v/>
      </c>
      <c r="HF34" s="2" t="str">
        <f>IF(HF$32="","",IF(MINDS!$C$35="","",MINDS!$C$35))</f>
        <v/>
      </c>
      <c r="HG34" s="2" t="str">
        <f>IF(HG$32="","",IF(MINDS!$C$35="","",MINDS!$C$35))</f>
        <v/>
      </c>
      <c r="HH34" s="2" t="str">
        <f>IF(HH$32="","",IF(MINDS!$C$35="","",MINDS!$C$35))</f>
        <v/>
      </c>
      <c r="HI34" s="2" t="str">
        <f>IF(HI$32="","",IF(MINDS!$C$35="","",MINDS!$C$35))</f>
        <v/>
      </c>
      <c r="HJ34" s="2" t="str">
        <f>IF(HJ$32="","",IF(MINDS!$C$35="","",MINDS!$C$35))</f>
        <v/>
      </c>
      <c r="HK34" s="2" t="str">
        <f>IF(HK$32="","",IF(MINDS!$C$35="","",MINDS!$C$35))</f>
        <v/>
      </c>
      <c r="HL34" s="2" t="str">
        <f>IF(HL$32="","",IF(MINDS!$C$35="","",MINDS!$C$35))</f>
        <v/>
      </c>
      <c r="HM34" s="2" t="str">
        <f>IF(HM$32="","",IF(MINDS!$C$35="","",MINDS!$C$35))</f>
        <v/>
      </c>
      <c r="HN34" s="2" t="str">
        <f>IF(HN$32="","",IF(MINDS!$C$35="","",MINDS!$C$35))</f>
        <v/>
      </c>
      <c r="HO34" s="2" t="str">
        <f>IF(HO$32="","",IF(MINDS!$C$35="","",MINDS!$C$35))</f>
        <v/>
      </c>
      <c r="HP34" s="2" t="str">
        <f>IF(HP$32="","",IF(MINDS!$C$35="","",MINDS!$C$35))</f>
        <v/>
      </c>
      <c r="HQ34" s="2" t="str">
        <f>IF(HQ$32="","",IF(MINDS!$C$35="","",MINDS!$C$35))</f>
        <v/>
      </c>
      <c r="HR34" s="2" t="str">
        <f>IF(HR$32="","",IF(MINDS!$C$35="","",MINDS!$C$35))</f>
        <v/>
      </c>
      <c r="HS34" s="2" t="str">
        <f>IF(HS$32="","",IF(MINDS!$C$35="","",MINDS!$C$35))</f>
        <v/>
      </c>
      <c r="HT34" s="2" t="str">
        <f>IF(HT$32="","",IF(MINDS!$C$35="","",MINDS!$C$35))</f>
        <v/>
      </c>
      <c r="HU34" s="2" t="str">
        <f>IF(HU$32="","",IF(MINDS!$C$35="","",MINDS!$C$35))</f>
        <v/>
      </c>
      <c r="HV34" s="2" t="str">
        <f>IF(HV$32="","",IF(MINDS!$C$35="","",MINDS!$C$35))</f>
        <v/>
      </c>
      <c r="HW34" s="2" t="str">
        <f>IF(HW$32="","",IF(MINDS!$C$35="","",MINDS!$C$35))</f>
        <v/>
      </c>
      <c r="HX34" s="2" t="str">
        <f>IF(HX$32="","",IF(MINDS!$C$35="","",MINDS!$C$35))</f>
        <v/>
      </c>
      <c r="HY34" s="2" t="str">
        <f>IF(HY$32="","",IF(MINDS!$C$35="","",MINDS!$C$35))</f>
        <v/>
      </c>
      <c r="HZ34" s="2" t="str">
        <f>IF(HZ$32="","",IF(MINDS!$C$35="","",MINDS!$C$35))</f>
        <v/>
      </c>
      <c r="IA34" s="2" t="str">
        <f>IF(IA$32="","",IF(MINDS!$C$35="","",MINDS!$C$35))</f>
        <v/>
      </c>
      <c r="IB34" s="2" t="str">
        <f>IF(IB$32="","",IF(MINDS!$C$35="","",MINDS!$C$35))</f>
        <v/>
      </c>
      <c r="IC34" s="2" t="str">
        <f>IF(IC$32="","",IF(MINDS!$C$35="","",MINDS!$C$35))</f>
        <v/>
      </c>
      <c r="ID34" s="2" t="str">
        <f>IF(ID$32="","",IF(MINDS!$C$35="","",MINDS!$C$35))</f>
        <v/>
      </c>
      <c r="IE34" s="2" t="str">
        <f>IF(IE$32="","",IF(MINDS!$C$35="","",MINDS!$C$35))</f>
        <v/>
      </c>
      <c r="IF34" s="2" t="str">
        <f>IF(IF$32="","",IF(MINDS!$C$35="","",MINDS!$C$35))</f>
        <v/>
      </c>
      <c r="IG34" s="2" t="str">
        <f>IF(IG$32="","",IF(MINDS!$C$35="","",MINDS!$C$35))</f>
        <v/>
      </c>
      <c r="IH34" s="2" t="str">
        <f>IF(IH$32="","",IF(MINDS!$C$35="","",MINDS!$C$35))</f>
        <v/>
      </c>
      <c r="II34" s="2" t="str">
        <f>IF(II$32="","",IF(MINDS!$C$35="","",MINDS!$C$35))</f>
        <v/>
      </c>
      <c r="IJ34" s="2" t="str">
        <f>IF(IJ$32="","",IF(MINDS!$C$35="","",MINDS!$C$35))</f>
        <v/>
      </c>
      <c r="IK34" s="2" t="str">
        <f>IF(IK$32="","",IF(MINDS!$C$35="","",MINDS!$C$35))</f>
        <v/>
      </c>
      <c r="IL34" s="2" t="str">
        <f>IF(IL$32="","",IF(MINDS!$C$35="","",MINDS!$C$35))</f>
        <v/>
      </c>
      <c r="IM34" s="2" t="str">
        <f>IF(IM$32="","",IF(MINDS!$C$35="","",MINDS!$C$35))</f>
        <v/>
      </c>
      <c r="IN34" s="2" t="str">
        <f>IF(IN$32="","",IF(MINDS!$C$35="","",MINDS!$C$35))</f>
        <v/>
      </c>
      <c r="IO34" s="2" t="str">
        <f>IF(IO$32="","",IF(MINDS!$C$35="","",MINDS!$C$35))</f>
        <v/>
      </c>
      <c r="IP34" s="2" t="str">
        <f>IF(IP$32="","",IF(MINDS!$C$35="","",MINDS!$C$35))</f>
        <v/>
      </c>
      <c r="IQ34" s="2" t="str">
        <f>IF(IQ$32="","",IF(MINDS!$C$35="","",MINDS!$C$35))</f>
        <v/>
      </c>
      <c r="IR34" s="2" t="str">
        <f>IF(IR$32="","",IF(MINDS!$C$35="","",MINDS!$C$35))</f>
        <v/>
      </c>
      <c r="IS34" s="2" t="str">
        <f>IF(IS$32="","",IF(MINDS!$C$35="","",MINDS!$C$35))</f>
        <v/>
      </c>
      <c r="IT34" s="2" t="str">
        <f>IF(IT$32="","",IF(MINDS!$C$35="","",MINDS!$C$35))</f>
        <v/>
      </c>
      <c r="IU34" s="2" t="str">
        <f>IF(IU$32="","",IF(MINDS!$C$35="","",MINDS!$C$35))</f>
        <v/>
      </c>
      <c r="IV34" s="2" t="str">
        <f>IF(IV$32="","",IF(MINDS!$C$35="","",MINDS!$C$35))</f>
        <v/>
      </c>
    </row>
    <row r="35" spans="1:256" x14ac:dyDescent="0.2">
      <c r="A35" s="3" t="s">
        <v>3</v>
      </c>
      <c r="C35" s="2" t="str">
        <f>IF(C$32="","",MINDS!C$44)</f>
        <v/>
      </c>
      <c r="D35" s="2" t="str">
        <f>IF(D$32="","",MINDS!D$44)</f>
        <v/>
      </c>
      <c r="E35" s="2" t="str">
        <f>IF(E$32="","",MINDS!E$44)</f>
        <v/>
      </c>
      <c r="F35" s="2" t="str">
        <f>IF(F$32="","",MINDS!F$44)</f>
        <v/>
      </c>
      <c r="G35" s="2" t="str">
        <f>IF(G$32="","",MINDS!G$44)</f>
        <v/>
      </c>
      <c r="H35" s="2" t="str">
        <f>IF(H$32="","",MINDS!H$44)</f>
        <v/>
      </c>
      <c r="I35" s="2" t="str">
        <f>IF(I$32="","",MINDS!I$44)</f>
        <v/>
      </c>
      <c r="J35" s="2" t="str">
        <f>IF(J$32="","",MINDS!J$44)</f>
        <v/>
      </c>
      <c r="K35" s="2" t="str">
        <f>IF(K$32="","",MINDS!K$44)</f>
        <v/>
      </c>
      <c r="L35" s="2" t="str">
        <f>IF(L$32="","",MINDS!L$44)</f>
        <v/>
      </c>
      <c r="M35" s="2" t="str">
        <f>IF(M$32="","",MINDS!M$44)</f>
        <v/>
      </c>
      <c r="N35" s="2" t="str">
        <f>IF(N$32="","",MINDS!N$44)</f>
        <v/>
      </c>
      <c r="O35" s="2" t="str">
        <f>IF(O$32="","",MINDS!O$44)</f>
        <v/>
      </c>
      <c r="P35" s="2" t="str">
        <f>IF(P$32="","",MINDS!P$44)</f>
        <v/>
      </c>
      <c r="Q35" s="2" t="str">
        <f>IF(Q$32="","",MINDS!Q$44)</f>
        <v/>
      </c>
      <c r="R35" s="2" t="str">
        <f>IF(R$32="","",MINDS!R$44)</f>
        <v/>
      </c>
      <c r="S35" s="2" t="str">
        <f>IF(S$32="","",MINDS!S$44)</f>
        <v/>
      </c>
      <c r="T35" s="2" t="str">
        <f>IF(T$32="","",MINDS!T$44)</f>
        <v/>
      </c>
      <c r="U35" s="2" t="str">
        <f>IF(U$32="","",MINDS!U$44)</f>
        <v/>
      </c>
      <c r="V35" s="2" t="str">
        <f>IF(V$32="","",MINDS!V$44)</f>
        <v/>
      </c>
      <c r="W35" s="2" t="str">
        <f>IF(W$32="","",MINDS!W$44)</f>
        <v/>
      </c>
      <c r="X35" s="2" t="str">
        <f>IF(X$32="","",MINDS!X$44)</f>
        <v/>
      </c>
      <c r="Y35" s="2" t="str">
        <f>IF(Y$32="","",MINDS!Y$44)</f>
        <v/>
      </c>
      <c r="Z35" s="2" t="str">
        <f>IF(Z$32="","",MINDS!Z$44)</f>
        <v/>
      </c>
      <c r="AA35" s="2" t="str">
        <f>IF(AA$32="","",MINDS!AA$44)</f>
        <v/>
      </c>
      <c r="AB35" s="2" t="str">
        <f>IF(AB$32="","",MINDS!AB$44)</f>
        <v/>
      </c>
      <c r="AC35" s="2" t="str">
        <f>IF(AC$32="","",MINDS!AC$44)</f>
        <v/>
      </c>
      <c r="AD35" s="2" t="str">
        <f>IF(AD$32="","",MINDS!AD$44)</f>
        <v/>
      </c>
      <c r="AE35" s="2" t="str">
        <f>IF(AE$32="","",MINDS!AE$44)</f>
        <v/>
      </c>
      <c r="AF35" s="2" t="str">
        <f>IF(AF$32="","",MINDS!AF$44)</f>
        <v/>
      </c>
      <c r="AG35" s="2" t="str">
        <f>IF(AG$32="","",MINDS!AG$44)</f>
        <v/>
      </c>
      <c r="AH35" s="2" t="str">
        <f>IF(AH$32="","",MINDS!AH$44)</f>
        <v/>
      </c>
      <c r="AI35" s="2" t="str">
        <f>IF(AI$32="","",MINDS!AI$44)</f>
        <v/>
      </c>
      <c r="AJ35" s="2" t="str">
        <f>IF(AJ$32="","",MINDS!AJ$44)</f>
        <v/>
      </c>
      <c r="AK35" s="2" t="str">
        <f>IF(AK$32="","",MINDS!AK$44)</f>
        <v/>
      </c>
      <c r="AL35" s="2" t="str">
        <f>IF(AL$32="","",MINDS!AL$44)</f>
        <v/>
      </c>
      <c r="AM35" s="2" t="str">
        <f>IF(AM$32="","",MINDS!AM$44)</f>
        <v/>
      </c>
      <c r="AN35" s="2" t="str">
        <f>IF(AN$32="","",MINDS!AN$44)</f>
        <v/>
      </c>
      <c r="AO35" s="2" t="str">
        <f>IF(AO$32="","",MINDS!AO$44)</f>
        <v/>
      </c>
      <c r="AP35" s="2" t="str">
        <f>IF(AP$32="","",MINDS!AP$44)</f>
        <v/>
      </c>
      <c r="AQ35" s="2" t="str">
        <f>IF(AQ$32="","",MINDS!AQ$44)</f>
        <v/>
      </c>
      <c r="AR35" s="2" t="str">
        <f>IF(AR$32="","",MINDS!AR$44)</f>
        <v/>
      </c>
      <c r="AS35" s="2" t="str">
        <f>IF(AS$32="","",MINDS!AS$44)</f>
        <v/>
      </c>
      <c r="AT35" s="2" t="str">
        <f>IF(AT$32="","",MINDS!AT$44)</f>
        <v/>
      </c>
      <c r="AU35" s="2" t="str">
        <f>IF(AU$32="","",MINDS!AU$44)</f>
        <v/>
      </c>
      <c r="AV35" s="2" t="str">
        <f>IF(AV$32="","",MINDS!AV$44)</f>
        <v/>
      </c>
      <c r="AW35" s="2" t="str">
        <f>IF(AW$32="","",MINDS!AW$44)</f>
        <v/>
      </c>
      <c r="AX35" s="2" t="str">
        <f>IF(AX$32="","",MINDS!AX$44)</f>
        <v/>
      </c>
      <c r="AY35" s="2" t="str">
        <f>IF(AY$32="","",MINDS!AY$44)</f>
        <v/>
      </c>
      <c r="AZ35" s="2" t="str">
        <f>IF(AZ$32="","",MINDS!AZ$44)</f>
        <v/>
      </c>
      <c r="BA35" s="2" t="str">
        <f>IF(BA$32="","",MINDS!BA$44)</f>
        <v/>
      </c>
      <c r="BB35" s="2" t="str">
        <f>IF(BB$32="","",MINDS!BB$44)</f>
        <v/>
      </c>
      <c r="BC35" s="2" t="str">
        <f>IF(BC$32="","",MINDS!BC$44)</f>
        <v/>
      </c>
      <c r="BD35" s="2" t="str">
        <f>IF(BD$32="","",MINDS!BD$44)</f>
        <v/>
      </c>
      <c r="BE35" s="2" t="str">
        <f>IF(BE$32="","",MINDS!BE$44)</f>
        <v/>
      </c>
      <c r="BF35" s="2" t="str">
        <f>IF(BF$32="","",MINDS!BF$44)</f>
        <v/>
      </c>
      <c r="BG35" s="2" t="str">
        <f>IF(BG$32="","",MINDS!BG$44)</f>
        <v/>
      </c>
      <c r="BH35" s="2" t="str">
        <f>IF(BH$32="","",MINDS!BH$44)</f>
        <v/>
      </c>
      <c r="BI35" s="2" t="str">
        <f>IF(BI$32="","",MINDS!BI$44)</f>
        <v/>
      </c>
      <c r="BJ35" s="2" t="str">
        <f>IF(BJ$32="","",MINDS!BJ$44)</f>
        <v/>
      </c>
      <c r="BK35" s="2" t="str">
        <f>IF(BK$32="","",MINDS!BK$44)</f>
        <v/>
      </c>
      <c r="BL35" s="2" t="str">
        <f>IF(BL$32="","",MINDS!BL$44)</f>
        <v/>
      </c>
      <c r="BM35" s="2" t="str">
        <f>IF(BM$32="","",MINDS!BM$44)</f>
        <v/>
      </c>
      <c r="BN35" s="2" t="str">
        <f>IF(BN$32="","",MINDS!BN$44)</f>
        <v/>
      </c>
      <c r="BO35" s="2" t="str">
        <f>IF(BO$32="","",MINDS!BO$44)</f>
        <v/>
      </c>
      <c r="BP35" s="2" t="str">
        <f>IF(BP$32="","",MINDS!BP$44)</f>
        <v/>
      </c>
      <c r="BQ35" s="2" t="str">
        <f>IF(BQ$32="","",MINDS!BQ$44)</f>
        <v/>
      </c>
      <c r="BR35" s="2" t="str">
        <f>IF(BR$32="","",MINDS!BR$44)</f>
        <v/>
      </c>
      <c r="BS35" s="2" t="str">
        <f>IF(BS$32="","",MINDS!BS$44)</f>
        <v/>
      </c>
      <c r="BT35" s="2" t="str">
        <f>IF(BT$32="","",MINDS!BT$44)</f>
        <v/>
      </c>
      <c r="BU35" s="2" t="str">
        <f>IF(BU$32="","",MINDS!BU$44)</f>
        <v/>
      </c>
      <c r="BV35" s="2" t="str">
        <f>IF(BV$32="","",MINDS!BV$44)</f>
        <v/>
      </c>
      <c r="BW35" s="2" t="str">
        <f>IF(BW$32="","",MINDS!BW$44)</f>
        <v/>
      </c>
      <c r="BX35" s="2" t="str">
        <f>IF(BX$32="","",MINDS!BX$44)</f>
        <v/>
      </c>
      <c r="BY35" s="2" t="str">
        <f>IF(BY$32="","",MINDS!BY$44)</f>
        <v/>
      </c>
      <c r="BZ35" s="2" t="str">
        <f>IF(BZ$32="","",MINDS!BZ$44)</f>
        <v/>
      </c>
      <c r="CA35" s="2" t="str">
        <f>IF(CA$32="","",MINDS!CA$44)</f>
        <v/>
      </c>
      <c r="CB35" s="2" t="str">
        <f>IF(CB$32="","",MINDS!CB$44)</f>
        <v/>
      </c>
      <c r="CC35" s="2" t="str">
        <f>IF(CC$32="","",MINDS!CC$44)</f>
        <v/>
      </c>
      <c r="CD35" s="2" t="str">
        <f>IF(CD$32="","",MINDS!CD$44)</f>
        <v/>
      </c>
      <c r="CE35" s="2" t="str">
        <f>IF(CE$32="","",MINDS!CE$44)</f>
        <v/>
      </c>
      <c r="CF35" s="2" t="str">
        <f>IF(CF$32="","",MINDS!CF$44)</f>
        <v/>
      </c>
      <c r="CG35" s="2" t="str">
        <f>IF(CG$32="","",MINDS!CG$44)</f>
        <v/>
      </c>
      <c r="CH35" s="2" t="str">
        <f>IF(CH$32="","",MINDS!CH$44)</f>
        <v/>
      </c>
      <c r="CI35" s="2" t="str">
        <f>IF(CI$32="","",MINDS!CI$44)</f>
        <v/>
      </c>
      <c r="CJ35" s="2" t="str">
        <f>IF(CJ$32="","",MINDS!CJ$44)</f>
        <v/>
      </c>
      <c r="CK35" s="2" t="str">
        <f>IF(CK$32="","",MINDS!CK$44)</f>
        <v/>
      </c>
      <c r="CL35" s="2" t="str">
        <f>IF(CL$32="","",MINDS!CL$44)</f>
        <v/>
      </c>
      <c r="CM35" s="2" t="str">
        <f>IF(CM$32="","",MINDS!CM$44)</f>
        <v/>
      </c>
      <c r="CN35" s="2" t="str">
        <f>IF(CN$32="","",MINDS!CN$44)</f>
        <v/>
      </c>
      <c r="CO35" s="2" t="str">
        <f>IF(CO$32="","",MINDS!CO$44)</f>
        <v/>
      </c>
      <c r="CP35" s="2" t="str">
        <f>IF(CP$32="","",MINDS!CP$44)</f>
        <v/>
      </c>
      <c r="CQ35" s="2" t="str">
        <f>IF(CQ$32="","",MINDS!CQ$44)</f>
        <v/>
      </c>
      <c r="CR35" s="2" t="str">
        <f>IF(CR$32="","",MINDS!CR$44)</f>
        <v/>
      </c>
      <c r="CS35" s="2" t="str">
        <f>IF(CS$32="","",MINDS!CS$44)</f>
        <v/>
      </c>
      <c r="CT35" s="2" t="str">
        <f>IF(CT$32="","",MINDS!CT$44)</f>
        <v/>
      </c>
      <c r="CU35" s="2" t="str">
        <f>IF(CU$32="","",MINDS!CU$44)</f>
        <v/>
      </c>
      <c r="CV35" s="2" t="str">
        <f>IF(CV$32="","",MINDS!CV$44)</f>
        <v/>
      </c>
      <c r="CW35" s="2" t="str">
        <f>IF(CW$32="","",MINDS!CW$44)</f>
        <v/>
      </c>
      <c r="CX35" s="2" t="str">
        <f>IF(CX$32="","",MINDS!CX$44)</f>
        <v/>
      </c>
      <c r="CY35" s="2" t="str">
        <f>IF(CY$32="","",MINDS!CY$44)</f>
        <v/>
      </c>
      <c r="CZ35" s="2" t="str">
        <f>IF(CZ$32="","",MINDS!CZ$44)</f>
        <v/>
      </c>
      <c r="DA35" s="2" t="str">
        <f>IF(DA$32="","",MINDS!DA$44)</f>
        <v/>
      </c>
      <c r="DB35" s="2" t="str">
        <f>IF(DB$32="","",MINDS!DB$44)</f>
        <v/>
      </c>
      <c r="DC35" s="2" t="str">
        <f>IF(DC$32="","",MINDS!DC$44)</f>
        <v/>
      </c>
      <c r="DD35" s="2" t="str">
        <f>IF(DD$32="","",MINDS!DD$44)</f>
        <v/>
      </c>
      <c r="DE35" s="2" t="str">
        <f>IF(DE$32="","",MINDS!DE$44)</f>
        <v/>
      </c>
      <c r="DF35" s="2" t="str">
        <f>IF(DF$32="","",MINDS!DF$44)</f>
        <v/>
      </c>
      <c r="DG35" s="2" t="str">
        <f>IF(DG$32="","",MINDS!DG$44)</f>
        <v/>
      </c>
      <c r="DH35" s="2" t="str">
        <f>IF(DH$32="","",MINDS!DH$44)</f>
        <v/>
      </c>
      <c r="DI35" s="2" t="str">
        <f>IF(DI$32="","",MINDS!DI$44)</f>
        <v/>
      </c>
      <c r="DJ35" s="2" t="str">
        <f>IF(DJ$32="","",MINDS!DJ$44)</f>
        <v/>
      </c>
      <c r="DK35" s="2" t="str">
        <f>IF(DK$32="","",MINDS!DK$44)</f>
        <v/>
      </c>
      <c r="DL35" s="2" t="str">
        <f>IF(DL$32="","",MINDS!DL$44)</f>
        <v/>
      </c>
      <c r="DM35" s="2" t="str">
        <f>IF(DM$32="","",MINDS!DM$44)</f>
        <v/>
      </c>
      <c r="DN35" s="2" t="str">
        <f>IF(DN$32="","",MINDS!DN$44)</f>
        <v/>
      </c>
      <c r="DO35" s="2" t="str">
        <f>IF(DO$32="","",MINDS!DO$44)</f>
        <v/>
      </c>
      <c r="DP35" s="2" t="str">
        <f>IF(DP$32="","",MINDS!DP$44)</f>
        <v/>
      </c>
      <c r="DQ35" s="2" t="str">
        <f>IF(DQ$32="","",MINDS!DQ$44)</f>
        <v/>
      </c>
      <c r="DR35" s="2" t="str">
        <f>IF(DR$32="","",MINDS!DR$44)</f>
        <v/>
      </c>
      <c r="DS35" s="2" t="str">
        <f>IF(DS$32="","",MINDS!DS$44)</f>
        <v/>
      </c>
      <c r="DT35" s="2" t="str">
        <f>IF(DT$32="","",MINDS!DT$44)</f>
        <v/>
      </c>
      <c r="DU35" s="2" t="str">
        <f>IF(DU$32="","",MINDS!DU$44)</f>
        <v/>
      </c>
      <c r="DV35" s="2" t="str">
        <f>IF(DV$32="","",MINDS!DV$44)</f>
        <v/>
      </c>
      <c r="DW35" s="2" t="str">
        <f>IF(DW$32="","",MINDS!DW$44)</f>
        <v/>
      </c>
      <c r="DX35" s="2" t="str">
        <f>IF(DX$32="","",MINDS!DX$44)</f>
        <v/>
      </c>
      <c r="DY35" s="2" t="str">
        <f>IF(DY$32="","",MINDS!DY$44)</f>
        <v/>
      </c>
      <c r="DZ35" s="2" t="str">
        <f>IF(DZ$32="","",MINDS!DZ$44)</f>
        <v/>
      </c>
      <c r="EA35" s="2" t="str">
        <f>IF(EA$32="","",MINDS!EA$44)</f>
        <v/>
      </c>
      <c r="EB35" s="2" t="str">
        <f>IF(EB$32="","",MINDS!EB$44)</f>
        <v/>
      </c>
      <c r="EC35" s="2" t="str">
        <f>IF(EC$32="","",MINDS!EC$44)</f>
        <v/>
      </c>
      <c r="ED35" s="2" t="str">
        <f>IF(ED$32="","",MINDS!ED$44)</f>
        <v/>
      </c>
      <c r="EE35" s="2" t="str">
        <f>IF(EE$32="","",MINDS!EE$44)</f>
        <v/>
      </c>
      <c r="EF35" s="2" t="str">
        <f>IF(EF$32="","",MINDS!EF$44)</f>
        <v/>
      </c>
      <c r="EG35" s="2" t="str">
        <f>IF(EG$32="","",MINDS!EG$44)</f>
        <v/>
      </c>
      <c r="EH35" s="2" t="str">
        <f>IF(EH$32="","",MINDS!EH$44)</f>
        <v/>
      </c>
      <c r="EI35" s="2" t="str">
        <f>IF(EI$32="","",MINDS!EI$44)</f>
        <v/>
      </c>
      <c r="EJ35" s="2" t="str">
        <f>IF(EJ$32="","",MINDS!EJ$44)</f>
        <v/>
      </c>
      <c r="EK35" s="2" t="str">
        <f>IF(EK$32="","",MINDS!EK$44)</f>
        <v/>
      </c>
      <c r="EL35" s="2" t="str">
        <f>IF(EL$32="","",MINDS!EL$44)</f>
        <v/>
      </c>
      <c r="EM35" s="2" t="str">
        <f>IF(EM$32="","",MINDS!EM$44)</f>
        <v/>
      </c>
      <c r="EN35" s="2" t="str">
        <f>IF(EN$32="","",MINDS!EN$44)</f>
        <v/>
      </c>
      <c r="EO35" s="2" t="str">
        <f>IF(EO$32="","",MINDS!EO$44)</f>
        <v/>
      </c>
      <c r="EP35" s="2" t="str">
        <f>IF(EP$32="","",MINDS!EP$44)</f>
        <v/>
      </c>
      <c r="EQ35" s="2" t="str">
        <f>IF(EQ$32="","",MINDS!EQ$44)</f>
        <v/>
      </c>
      <c r="ER35" s="2" t="str">
        <f>IF(ER$32="","",MINDS!ER$44)</f>
        <v/>
      </c>
      <c r="ES35" s="2" t="str">
        <f>IF(ES$32="","",MINDS!ES$44)</f>
        <v/>
      </c>
      <c r="ET35" s="2" t="str">
        <f>IF(ET$32="","",MINDS!ET$44)</f>
        <v/>
      </c>
      <c r="EU35" s="2" t="str">
        <f>IF(EU$32="","",MINDS!EU$44)</f>
        <v/>
      </c>
      <c r="EV35" s="2" t="str">
        <f>IF(EV$32="","",MINDS!EV$44)</f>
        <v/>
      </c>
      <c r="EW35" s="2" t="str">
        <f>IF(EW$32="","",MINDS!EW$44)</f>
        <v/>
      </c>
      <c r="EX35" s="2" t="str">
        <f>IF(EX$32="","",MINDS!EX$44)</f>
        <v/>
      </c>
      <c r="EY35" s="2" t="str">
        <f>IF(EY$32="","",MINDS!EY$44)</f>
        <v/>
      </c>
      <c r="EZ35" s="2" t="str">
        <f>IF(EZ$32="","",MINDS!EZ$44)</f>
        <v/>
      </c>
      <c r="FA35" s="2" t="str">
        <f>IF(FA$32="","",MINDS!FA$44)</f>
        <v/>
      </c>
      <c r="FB35" s="2" t="str">
        <f>IF(FB$32="","",MINDS!FB$44)</f>
        <v/>
      </c>
      <c r="FC35" s="2" t="str">
        <f>IF(FC$32="","",MINDS!FC$44)</f>
        <v/>
      </c>
      <c r="FD35" s="2" t="str">
        <f>IF(FD$32="","",MINDS!FD$44)</f>
        <v/>
      </c>
      <c r="FE35" s="2" t="str">
        <f>IF(FE$32="","",MINDS!FE$44)</f>
        <v/>
      </c>
      <c r="FF35" s="2" t="str">
        <f>IF(FF$32="","",MINDS!FF$44)</f>
        <v/>
      </c>
      <c r="FG35" s="2" t="str">
        <f>IF(FG$32="","",MINDS!FG$44)</f>
        <v/>
      </c>
      <c r="FH35" s="2" t="str">
        <f>IF(FH$32="","",MINDS!FH$44)</f>
        <v/>
      </c>
      <c r="FI35" s="2" t="str">
        <f>IF(FI$32="","",MINDS!FI$44)</f>
        <v/>
      </c>
      <c r="FJ35" s="2" t="str">
        <f>IF(FJ$32="","",MINDS!FJ$44)</f>
        <v/>
      </c>
      <c r="FK35" s="2" t="str">
        <f>IF(FK$32="","",MINDS!FK$44)</f>
        <v/>
      </c>
      <c r="FL35" s="2" t="str">
        <f>IF(FL$32="","",MINDS!FL$44)</f>
        <v/>
      </c>
      <c r="FM35" s="2" t="str">
        <f>IF(FM$32="","",MINDS!FM$44)</f>
        <v/>
      </c>
      <c r="FN35" s="2" t="str">
        <f>IF(FN$32="","",MINDS!FN$44)</f>
        <v/>
      </c>
      <c r="FO35" s="2" t="str">
        <f>IF(FO$32="","",MINDS!FO$44)</f>
        <v/>
      </c>
      <c r="FP35" s="2" t="str">
        <f>IF(FP$32="","",MINDS!FP$44)</f>
        <v/>
      </c>
      <c r="FQ35" s="2" t="str">
        <f>IF(FQ$32="","",MINDS!FQ$44)</f>
        <v/>
      </c>
      <c r="FR35" s="2" t="str">
        <f>IF(FR$32="","",MINDS!FR$44)</f>
        <v/>
      </c>
      <c r="FS35" s="2" t="str">
        <f>IF(FS$32="","",MINDS!FS$44)</f>
        <v/>
      </c>
      <c r="FT35" s="2" t="str">
        <f>IF(FT$32="","",MINDS!FT$44)</f>
        <v/>
      </c>
      <c r="FU35" s="2" t="str">
        <f>IF(FU$32="","",MINDS!FU$44)</f>
        <v/>
      </c>
      <c r="FV35" s="2" t="str">
        <f>IF(FV$32="","",MINDS!FV$44)</f>
        <v/>
      </c>
      <c r="FW35" s="2" t="str">
        <f>IF(FW$32="","",MINDS!FW$44)</f>
        <v/>
      </c>
      <c r="FX35" s="2" t="str">
        <f>IF(FX$32="","",MINDS!FX$44)</f>
        <v/>
      </c>
      <c r="FY35" s="2" t="str">
        <f>IF(FY$32="","",MINDS!FY$44)</f>
        <v/>
      </c>
      <c r="FZ35" s="2" t="str">
        <f>IF(FZ$32="","",MINDS!FZ$44)</f>
        <v/>
      </c>
      <c r="GA35" s="2" t="str">
        <f>IF(GA$32="","",MINDS!GA$44)</f>
        <v/>
      </c>
      <c r="GB35" s="2" t="str">
        <f>IF(GB$32="","",MINDS!GB$44)</f>
        <v/>
      </c>
      <c r="GC35" s="2" t="str">
        <f>IF(GC$32="","",MINDS!GC$44)</f>
        <v/>
      </c>
      <c r="GD35" s="2" t="str">
        <f>IF(GD$32="","",MINDS!GD$44)</f>
        <v/>
      </c>
      <c r="GE35" s="2" t="str">
        <f>IF(GE$32="","",MINDS!GE$44)</f>
        <v/>
      </c>
      <c r="GF35" s="2" t="str">
        <f>IF(GF$32="","",MINDS!GF$44)</f>
        <v/>
      </c>
      <c r="GG35" s="2" t="str">
        <f>IF(GG$32="","",MINDS!GG$44)</f>
        <v/>
      </c>
      <c r="GH35" s="2" t="str">
        <f>IF(GH$32="","",MINDS!GH$44)</f>
        <v/>
      </c>
      <c r="GI35" s="2" t="str">
        <f>IF(GI$32="","",MINDS!GI$44)</f>
        <v/>
      </c>
      <c r="GJ35" s="2" t="str">
        <f>IF(GJ$32="","",MINDS!GJ$44)</f>
        <v/>
      </c>
      <c r="GK35" s="2" t="str">
        <f>IF(GK$32="","",MINDS!GK$44)</f>
        <v/>
      </c>
      <c r="GL35" s="2" t="str">
        <f>IF(GL$32="","",MINDS!GL$44)</f>
        <v/>
      </c>
      <c r="GM35" s="2" t="str">
        <f>IF(GM$32="","",MINDS!GM$44)</f>
        <v/>
      </c>
      <c r="GN35" s="2" t="str">
        <f>IF(GN$32="","",MINDS!GN$44)</f>
        <v/>
      </c>
      <c r="GO35" s="2" t="str">
        <f>IF(GO$32="","",MINDS!GO$44)</f>
        <v/>
      </c>
      <c r="GP35" s="2" t="str">
        <f>IF(GP$32="","",MINDS!GP$44)</f>
        <v/>
      </c>
      <c r="GQ35" s="2" t="str">
        <f>IF(GQ$32="","",MINDS!GQ$44)</f>
        <v/>
      </c>
      <c r="GR35" s="2" t="str">
        <f>IF(GR$32="","",MINDS!GR$44)</f>
        <v/>
      </c>
      <c r="GS35" s="2" t="str">
        <f>IF(GS$32="","",MINDS!GS$44)</f>
        <v/>
      </c>
      <c r="GT35" s="2" t="str">
        <f>IF(GT$32="","",MINDS!GT$44)</f>
        <v/>
      </c>
      <c r="GU35" s="2" t="str">
        <f>IF(GU$32="","",MINDS!GU$44)</f>
        <v/>
      </c>
      <c r="GV35" s="2" t="str">
        <f>IF(GV$32="","",MINDS!GV$44)</f>
        <v/>
      </c>
      <c r="GW35" s="2" t="str">
        <f>IF(GW$32="","",MINDS!GW$44)</f>
        <v/>
      </c>
      <c r="GX35" s="2" t="str">
        <f>IF(GX$32="","",MINDS!GX$44)</f>
        <v/>
      </c>
      <c r="GY35" s="2" t="str">
        <f>IF(GY$32="","",MINDS!GY$44)</f>
        <v/>
      </c>
      <c r="GZ35" s="2" t="str">
        <f>IF(GZ$32="","",MINDS!GZ$44)</f>
        <v/>
      </c>
      <c r="HA35" s="2" t="str">
        <f>IF(HA$32="","",MINDS!HA$44)</f>
        <v/>
      </c>
      <c r="HB35" s="2" t="str">
        <f>IF(HB$32="","",MINDS!HB$44)</f>
        <v/>
      </c>
      <c r="HC35" s="2" t="str">
        <f>IF(HC$32="","",MINDS!HC$44)</f>
        <v/>
      </c>
      <c r="HD35" s="2" t="str">
        <f>IF(HD$32="","",MINDS!HD$44)</f>
        <v/>
      </c>
      <c r="HE35" s="2" t="str">
        <f>IF(HE$32="","",MINDS!HE$44)</f>
        <v/>
      </c>
      <c r="HF35" s="2" t="str">
        <f>IF(HF$32="","",MINDS!HF$44)</f>
        <v/>
      </c>
      <c r="HG35" s="2" t="str">
        <f>IF(HG$32="","",MINDS!HG$44)</f>
        <v/>
      </c>
      <c r="HH35" s="2" t="str">
        <f>IF(HH$32="","",MINDS!HH$44)</f>
        <v/>
      </c>
      <c r="HI35" s="2" t="str">
        <f>IF(HI$32="","",MINDS!HI$44)</f>
        <v/>
      </c>
      <c r="HJ35" s="2" t="str">
        <f>IF(HJ$32="","",MINDS!HJ$44)</f>
        <v/>
      </c>
      <c r="HK35" s="2" t="str">
        <f>IF(HK$32="","",MINDS!HK$44)</f>
        <v/>
      </c>
      <c r="HL35" s="2" t="str">
        <f>IF(HL$32="","",MINDS!HL$44)</f>
        <v/>
      </c>
      <c r="HM35" s="2" t="str">
        <f>IF(HM$32="","",MINDS!HM$44)</f>
        <v/>
      </c>
      <c r="HN35" s="2" t="str">
        <f>IF(HN$32="","",MINDS!HN$44)</f>
        <v/>
      </c>
      <c r="HO35" s="2" t="str">
        <f>IF(HO$32="","",MINDS!HO$44)</f>
        <v/>
      </c>
      <c r="HP35" s="2" t="str">
        <f>IF(HP$32="","",MINDS!HP$44)</f>
        <v/>
      </c>
      <c r="HQ35" s="2" t="str">
        <f>IF(HQ$32="","",MINDS!HQ$44)</f>
        <v/>
      </c>
      <c r="HR35" s="2" t="str">
        <f>IF(HR$32="","",MINDS!HR$44)</f>
        <v/>
      </c>
      <c r="HS35" s="2" t="str">
        <f>IF(HS$32="","",MINDS!HS$44)</f>
        <v/>
      </c>
      <c r="HT35" s="2" t="str">
        <f>IF(HT$32="","",MINDS!HT$44)</f>
        <v/>
      </c>
      <c r="HU35" s="2" t="str">
        <f>IF(HU$32="","",MINDS!HU$44)</f>
        <v/>
      </c>
      <c r="HV35" s="2" t="str">
        <f>IF(HV$32="","",MINDS!HV$44)</f>
        <v/>
      </c>
      <c r="HW35" s="2" t="str">
        <f>IF(HW$32="","",MINDS!HW$44)</f>
        <v/>
      </c>
      <c r="HX35" s="2" t="str">
        <f>IF(HX$32="","",MINDS!HX$44)</f>
        <v/>
      </c>
      <c r="HY35" s="2" t="str">
        <f>IF(HY$32="","",MINDS!HY$44)</f>
        <v/>
      </c>
      <c r="HZ35" s="2" t="str">
        <f>IF(HZ$32="","",MINDS!HZ$44)</f>
        <v/>
      </c>
      <c r="IA35" s="2" t="str">
        <f>IF(IA$32="","",MINDS!IA$44)</f>
        <v/>
      </c>
      <c r="IB35" s="2" t="str">
        <f>IF(IB$32="","",MINDS!IB$44)</f>
        <v/>
      </c>
      <c r="IC35" s="2" t="str">
        <f>IF(IC$32="","",MINDS!IC$44)</f>
        <v/>
      </c>
      <c r="ID35" s="2" t="str">
        <f>IF(ID$32="","",MINDS!ID$44)</f>
        <v/>
      </c>
      <c r="IE35" s="2" t="str">
        <f>IF(IE$32="","",MINDS!IE$44)</f>
        <v/>
      </c>
      <c r="IF35" s="2" t="str">
        <f>IF(IF$32="","",MINDS!IF$44)</f>
        <v/>
      </c>
      <c r="IG35" s="2" t="str">
        <f>IF(IG$32="","",MINDS!IG$44)</f>
        <v/>
      </c>
      <c r="IH35" s="2" t="str">
        <f>IF(IH$32="","",MINDS!IH$44)</f>
        <v/>
      </c>
      <c r="II35" s="2" t="str">
        <f>IF(II$32="","",MINDS!II$44)</f>
        <v/>
      </c>
      <c r="IJ35" s="2" t="str">
        <f>IF(IJ$32="","",MINDS!IJ$44)</f>
        <v/>
      </c>
      <c r="IK35" s="2" t="str">
        <f>IF(IK$32="","",MINDS!IK$44)</f>
        <v/>
      </c>
      <c r="IL35" s="2" t="str">
        <f>IF(IL$32="","",MINDS!IL$44)</f>
        <v/>
      </c>
      <c r="IM35" s="2" t="str">
        <f>IF(IM$32="","",MINDS!IM$44)</f>
        <v/>
      </c>
      <c r="IN35" s="2" t="str">
        <f>IF(IN$32="","",MINDS!IN$44)</f>
        <v/>
      </c>
      <c r="IO35" s="2" t="str">
        <f>IF(IO$32="","",MINDS!IO$44)</f>
        <v/>
      </c>
      <c r="IP35" s="2" t="str">
        <f>IF(IP$32="","",MINDS!IP$44)</f>
        <v/>
      </c>
      <c r="IQ35" s="2" t="str">
        <f>IF(IQ$32="","",MINDS!IQ$44)</f>
        <v/>
      </c>
      <c r="IR35" s="2" t="str">
        <f>IF(IR$32="","",MINDS!IR$44)</f>
        <v/>
      </c>
      <c r="IS35" s="2" t="str">
        <f>IF(IS$32="","",MINDS!IS$44)</f>
        <v/>
      </c>
      <c r="IT35" s="2" t="str">
        <f>IF(IT$32="","",MINDS!IT$44)</f>
        <v/>
      </c>
      <c r="IU35" s="2" t="str">
        <f>IF(IU$32="","",MINDS!IU$44)</f>
        <v/>
      </c>
      <c r="IV35" s="2" t="str">
        <f>IF(IV$32="","",MINDS!IV$44)</f>
        <v/>
      </c>
    </row>
    <row r="36" spans="1:256" x14ac:dyDescent="0.2">
      <c r="A36" s="3" t="s">
        <v>4</v>
      </c>
      <c r="C36" s="2" t="str">
        <f>IF(C$32="","",MINDS!C$46)</f>
        <v/>
      </c>
      <c r="D36" s="2" t="str">
        <f>IF(D$32="","",MINDS!D$46)</f>
        <v/>
      </c>
      <c r="E36" s="2" t="str">
        <f>IF(E$32="","",MINDS!E$46)</f>
        <v/>
      </c>
      <c r="F36" s="2" t="str">
        <f>IF(F$32="","",MINDS!F$46)</f>
        <v/>
      </c>
      <c r="G36" s="2" t="str">
        <f>IF(G$32="","",MINDS!G$46)</f>
        <v/>
      </c>
      <c r="H36" s="2" t="str">
        <f>IF(H$32="","",MINDS!H$46)</f>
        <v/>
      </c>
      <c r="I36" s="2" t="str">
        <f>IF(I$32="","",MINDS!I$46)</f>
        <v/>
      </c>
      <c r="J36" s="2" t="str">
        <f>IF(J$32="","",MINDS!J$46)</f>
        <v/>
      </c>
      <c r="K36" s="2" t="str">
        <f>IF(K$32="","",MINDS!K$46)</f>
        <v/>
      </c>
      <c r="L36" s="2" t="str">
        <f>IF(L$32="","",MINDS!L$46)</f>
        <v/>
      </c>
      <c r="M36" s="2" t="str">
        <f>IF(M$32="","",MINDS!M$46)</f>
        <v/>
      </c>
      <c r="N36" s="2" t="str">
        <f>IF(N$32="","",MINDS!N$46)</f>
        <v/>
      </c>
      <c r="O36" s="2" t="str">
        <f>IF(O$32="","",MINDS!O$46)</f>
        <v/>
      </c>
      <c r="P36" s="2" t="str">
        <f>IF(P$32="","",MINDS!P$46)</f>
        <v/>
      </c>
      <c r="Q36" s="2" t="str">
        <f>IF(Q$32="","",MINDS!Q$46)</f>
        <v/>
      </c>
      <c r="R36" s="2" t="str">
        <f>IF(R$32="","",MINDS!R$46)</f>
        <v/>
      </c>
      <c r="S36" s="2" t="str">
        <f>IF(S$32="","",MINDS!S$46)</f>
        <v/>
      </c>
      <c r="T36" s="2" t="str">
        <f>IF(T$32="","",MINDS!T$46)</f>
        <v/>
      </c>
      <c r="U36" s="2" t="str">
        <f>IF(U$32="","",MINDS!U$46)</f>
        <v/>
      </c>
      <c r="V36" s="2" t="str">
        <f>IF(V$32="","",MINDS!V$46)</f>
        <v/>
      </c>
      <c r="W36" s="2" t="str">
        <f>IF(W$32="","",MINDS!W$46)</f>
        <v/>
      </c>
      <c r="X36" s="2" t="str">
        <f>IF(X$32="","",MINDS!X$46)</f>
        <v/>
      </c>
      <c r="Y36" s="2" t="str">
        <f>IF(Y$32="","",MINDS!Y$46)</f>
        <v/>
      </c>
      <c r="Z36" s="2" t="str">
        <f>IF(Z$32="","",MINDS!Z$46)</f>
        <v/>
      </c>
      <c r="AA36" s="2" t="str">
        <f>IF(AA$32="","",MINDS!AA$46)</f>
        <v/>
      </c>
      <c r="AB36" s="2" t="str">
        <f>IF(AB$32="","",MINDS!AB$46)</f>
        <v/>
      </c>
      <c r="AC36" s="2" t="str">
        <f>IF(AC$32="","",MINDS!AC$46)</f>
        <v/>
      </c>
      <c r="AD36" s="2" t="str">
        <f>IF(AD$32="","",MINDS!AD$46)</f>
        <v/>
      </c>
      <c r="AE36" s="2" t="str">
        <f>IF(AE$32="","",MINDS!AE$46)</f>
        <v/>
      </c>
      <c r="AF36" s="2" t="str">
        <f>IF(AF$32="","",MINDS!AF$46)</f>
        <v/>
      </c>
      <c r="AG36" s="2" t="str">
        <f>IF(AG$32="","",MINDS!AG$46)</f>
        <v/>
      </c>
      <c r="AH36" s="2" t="str">
        <f>IF(AH$32="","",MINDS!AH$46)</f>
        <v/>
      </c>
      <c r="AI36" s="2" t="str">
        <f>IF(AI$32="","",MINDS!AI$46)</f>
        <v/>
      </c>
      <c r="AJ36" s="2" t="str">
        <f>IF(AJ$32="","",MINDS!AJ$46)</f>
        <v/>
      </c>
      <c r="AK36" s="2" t="str">
        <f>IF(AK$32="","",MINDS!AK$46)</f>
        <v/>
      </c>
      <c r="AL36" s="2" t="str">
        <f>IF(AL$32="","",MINDS!AL$46)</f>
        <v/>
      </c>
      <c r="AM36" s="2" t="str">
        <f>IF(AM$32="","",MINDS!AM$46)</f>
        <v/>
      </c>
      <c r="AN36" s="2" t="str">
        <f>IF(AN$32="","",MINDS!AN$46)</f>
        <v/>
      </c>
      <c r="AO36" s="2" t="str">
        <f>IF(AO$32="","",MINDS!AO$46)</f>
        <v/>
      </c>
      <c r="AP36" s="2" t="str">
        <f>IF(AP$32="","",MINDS!AP$46)</f>
        <v/>
      </c>
      <c r="AQ36" s="2" t="str">
        <f>IF(AQ$32="","",MINDS!AQ$46)</f>
        <v/>
      </c>
      <c r="AR36" s="2" t="str">
        <f>IF(AR$32="","",MINDS!AR$46)</f>
        <v/>
      </c>
      <c r="AS36" s="2" t="str">
        <f>IF(AS$32="","",MINDS!AS$46)</f>
        <v/>
      </c>
      <c r="AT36" s="2" t="str">
        <f>IF(AT$32="","",MINDS!AT$46)</f>
        <v/>
      </c>
      <c r="AU36" s="2" t="str">
        <f>IF(AU$32="","",MINDS!AU$46)</f>
        <v/>
      </c>
      <c r="AV36" s="2" t="str">
        <f>IF(AV$32="","",MINDS!AV$46)</f>
        <v/>
      </c>
      <c r="AW36" s="2" t="str">
        <f>IF(AW$32="","",MINDS!AW$46)</f>
        <v/>
      </c>
      <c r="AX36" s="2" t="str">
        <f>IF(AX$32="","",MINDS!AX$46)</f>
        <v/>
      </c>
      <c r="AY36" s="2" t="str">
        <f>IF(AY$32="","",MINDS!AY$46)</f>
        <v/>
      </c>
      <c r="AZ36" s="2" t="str">
        <f>IF(AZ$32="","",MINDS!AZ$46)</f>
        <v/>
      </c>
      <c r="BA36" s="2" t="str">
        <f>IF(BA$32="","",MINDS!BA$46)</f>
        <v/>
      </c>
      <c r="BB36" s="2" t="str">
        <f>IF(BB$32="","",MINDS!BB$46)</f>
        <v/>
      </c>
      <c r="BC36" s="2" t="str">
        <f>IF(BC$32="","",MINDS!BC$46)</f>
        <v/>
      </c>
      <c r="BD36" s="2" t="str">
        <f>IF(BD$32="","",MINDS!BD$46)</f>
        <v/>
      </c>
      <c r="BE36" s="2" t="str">
        <f>IF(BE$32="","",MINDS!BE$46)</f>
        <v/>
      </c>
      <c r="BF36" s="2" t="str">
        <f>IF(BF$32="","",MINDS!BF$46)</f>
        <v/>
      </c>
      <c r="BG36" s="2" t="str">
        <f>IF(BG$32="","",MINDS!BG$46)</f>
        <v/>
      </c>
      <c r="BH36" s="2" t="str">
        <f>IF(BH$32="","",MINDS!BH$46)</f>
        <v/>
      </c>
      <c r="BI36" s="2" t="str">
        <f>IF(BI$32="","",MINDS!BI$46)</f>
        <v/>
      </c>
      <c r="BJ36" s="2" t="str">
        <f>IF(BJ$32="","",MINDS!BJ$46)</f>
        <v/>
      </c>
      <c r="BK36" s="2" t="str">
        <f>IF(BK$32="","",MINDS!BK$46)</f>
        <v/>
      </c>
      <c r="BL36" s="2" t="str">
        <f>IF(BL$32="","",MINDS!BL$46)</f>
        <v/>
      </c>
      <c r="BM36" s="2" t="str">
        <f>IF(BM$32="","",MINDS!BM$46)</f>
        <v/>
      </c>
      <c r="BN36" s="2" t="str">
        <f>IF(BN$32="","",MINDS!BN$46)</f>
        <v/>
      </c>
      <c r="BO36" s="2" t="str">
        <f>IF(BO$32="","",MINDS!BO$46)</f>
        <v/>
      </c>
      <c r="BP36" s="2" t="str">
        <f>IF(BP$32="","",MINDS!BP$46)</f>
        <v/>
      </c>
      <c r="BQ36" s="2" t="str">
        <f>IF(BQ$32="","",MINDS!BQ$46)</f>
        <v/>
      </c>
      <c r="BR36" s="2" t="str">
        <f>IF(BR$32="","",MINDS!BR$46)</f>
        <v/>
      </c>
      <c r="BS36" s="2" t="str">
        <f>IF(BS$32="","",MINDS!BS$46)</f>
        <v/>
      </c>
      <c r="BT36" s="2" t="str">
        <f>IF(BT$32="","",MINDS!BT$46)</f>
        <v/>
      </c>
      <c r="BU36" s="2" t="str">
        <f>IF(BU$32="","",MINDS!BU$46)</f>
        <v/>
      </c>
      <c r="BV36" s="2" t="str">
        <f>IF(BV$32="","",MINDS!BV$46)</f>
        <v/>
      </c>
      <c r="BW36" s="2" t="str">
        <f>IF(BW$32="","",MINDS!BW$46)</f>
        <v/>
      </c>
      <c r="BX36" s="2" t="str">
        <f>IF(BX$32="","",MINDS!BX$46)</f>
        <v/>
      </c>
      <c r="BY36" s="2" t="str">
        <f>IF(BY$32="","",MINDS!BY$46)</f>
        <v/>
      </c>
      <c r="BZ36" s="2" t="str">
        <f>IF(BZ$32="","",MINDS!BZ$46)</f>
        <v/>
      </c>
      <c r="CA36" s="2" t="str">
        <f>IF(CA$32="","",MINDS!CA$46)</f>
        <v/>
      </c>
      <c r="CB36" s="2" t="str">
        <f>IF(CB$32="","",MINDS!CB$46)</f>
        <v/>
      </c>
      <c r="CC36" s="2" t="str">
        <f>IF(CC$32="","",MINDS!CC$46)</f>
        <v/>
      </c>
      <c r="CD36" s="2" t="str">
        <f>IF(CD$32="","",MINDS!CD$46)</f>
        <v/>
      </c>
      <c r="CE36" s="2" t="str">
        <f>IF(CE$32="","",MINDS!CE$46)</f>
        <v/>
      </c>
      <c r="CF36" s="2" t="str">
        <f>IF(CF$32="","",MINDS!CF$46)</f>
        <v/>
      </c>
      <c r="CG36" s="2" t="str">
        <f>IF(CG$32="","",MINDS!CG$46)</f>
        <v/>
      </c>
      <c r="CH36" s="2" t="str">
        <f>IF(CH$32="","",MINDS!CH$46)</f>
        <v/>
      </c>
      <c r="CI36" s="2" t="str">
        <f>IF(CI$32="","",MINDS!CI$46)</f>
        <v/>
      </c>
      <c r="CJ36" s="2" t="str">
        <f>IF(CJ$32="","",MINDS!CJ$46)</f>
        <v/>
      </c>
      <c r="CK36" s="2" t="str">
        <f>IF(CK$32="","",MINDS!CK$46)</f>
        <v/>
      </c>
      <c r="CL36" s="2" t="str">
        <f>IF(CL$32="","",MINDS!CL$46)</f>
        <v/>
      </c>
      <c r="CM36" s="2" t="str">
        <f>IF(CM$32="","",MINDS!CM$46)</f>
        <v/>
      </c>
      <c r="CN36" s="2" t="str">
        <f>IF(CN$32="","",MINDS!CN$46)</f>
        <v/>
      </c>
      <c r="CO36" s="2" t="str">
        <f>IF(CO$32="","",MINDS!CO$46)</f>
        <v/>
      </c>
      <c r="CP36" s="2" t="str">
        <f>IF(CP$32="","",MINDS!CP$46)</f>
        <v/>
      </c>
      <c r="CQ36" s="2" t="str">
        <f>IF(CQ$32="","",MINDS!CQ$46)</f>
        <v/>
      </c>
      <c r="CR36" s="2" t="str">
        <f>IF(CR$32="","",MINDS!CR$46)</f>
        <v/>
      </c>
      <c r="CS36" s="2" t="str">
        <f>IF(CS$32="","",MINDS!CS$46)</f>
        <v/>
      </c>
      <c r="CT36" s="2" t="str">
        <f>IF(CT$32="","",MINDS!CT$46)</f>
        <v/>
      </c>
      <c r="CU36" s="2" t="str">
        <f>IF(CU$32="","",MINDS!CU$46)</f>
        <v/>
      </c>
      <c r="CV36" s="2" t="str">
        <f>IF(CV$32="","",MINDS!CV$46)</f>
        <v/>
      </c>
      <c r="CW36" s="2" t="str">
        <f>IF(CW$32="","",MINDS!CW$46)</f>
        <v/>
      </c>
      <c r="CX36" s="2" t="str">
        <f>IF(CX$32="","",MINDS!CX$46)</f>
        <v/>
      </c>
      <c r="CY36" s="2" t="str">
        <f>IF(CY$32="","",MINDS!CY$46)</f>
        <v/>
      </c>
      <c r="CZ36" s="2" t="str">
        <f>IF(CZ$32="","",MINDS!CZ$46)</f>
        <v/>
      </c>
      <c r="DA36" s="2" t="str">
        <f>IF(DA$32="","",MINDS!DA$46)</f>
        <v/>
      </c>
      <c r="DB36" s="2" t="str">
        <f>IF(DB$32="","",MINDS!DB$46)</f>
        <v/>
      </c>
      <c r="DC36" s="2" t="str">
        <f>IF(DC$32="","",MINDS!DC$46)</f>
        <v/>
      </c>
      <c r="DD36" s="2" t="str">
        <f>IF(DD$32="","",MINDS!DD$46)</f>
        <v/>
      </c>
      <c r="DE36" s="2" t="str">
        <f>IF(DE$32="","",MINDS!DE$46)</f>
        <v/>
      </c>
      <c r="DF36" s="2" t="str">
        <f>IF(DF$32="","",MINDS!DF$46)</f>
        <v/>
      </c>
      <c r="DG36" s="2" t="str">
        <f>IF(DG$32="","",MINDS!DG$46)</f>
        <v/>
      </c>
      <c r="DH36" s="2" t="str">
        <f>IF(DH$32="","",MINDS!DH$46)</f>
        <v/>
      </c>
      <c r="DI36" s="2" t="str">
        <f>IF(DI$32="","",MINDS!DI$46)</f>
        <v/>
      </c>
      <c r="DJ36" s="2" t="str">
        <f>IF(DJ$32="","",MINDS!DJ$46)</f>
        <v/>
      </c>
      <c r="DK36" s="2" t="str">
        <f>IF(DK$32="","",MINDS!DK$46)</f>
        <v/>
      </c>
      <c r="DL36" s="2" t="str">
        <f>IF(DL$32="","",MINDS!DL$46)</f>
        <v/>
      </c>
      <c r="DM36" s="2" t="str">
        <f>IF(DM$32="","",MINDS!DM$46)</f>
        <v/>
      </c>
      <c r="DN36" s="2" t="str">
        <f>IF(DN$32="","",MINDS!DN$46)</f>
        <v/>
      </c>
      <c r="DO36" s="2" t="str">
        <f>IF(DO$32="","",MINDS!DO$46)</f>
        <v/>
      </c>
      <c r="DP36" s="2" t="str">
        <f>IF(DP$32="","",MINDS!DP$46)</f>
        <v/>
      </c>
      <c r="DQ36" s="2" t="str">
        <f>IF(DQ$32="","",MINDS!DQ$46)</f>
        <v/>
      </c>
      <c r="DR36" s="2" t="str">
        <f>IF(DR$32="","",MINDS!DR$46)</f>
        <v/>
      </c>
      <c r="DS36" s="2" t="str">
        <f>IF(DS$32="","",MINDS!DS$46)</f>
        <v/>
      </c>
      <c r="DT36" s="2" t="str">
        <f>IF(DT$32="","",MINDS!DT$46)</f>
        <v/>
      </c>
      <c r="DU36" s="2" t="str">
        <f>IF(DU$32="","",MINDS!DU$46)</f>
        <v/>
      </c>
      <c r="DV36" s="2" t="str">
        <f>IF(DV$32="","",MINDS!DV$46)</f>
        <v/>
      </c>
      <c r="DW36" s="2" t="str">
        <f>IF(DW$32="","",MINDS!DW$46)</f>
        <v/>
      </c>
      <c r="DX36" s="2" t="str">
        <f>IF(DX$32="","",MINDS!DX$46)</f>
        <v/>
      </c>
      <c r="DY36" s="2" t="str">
        <f>IF(DY$32="","",MINDS!DY$46)</f>
        <v/>
      </c>
      <c r="DZ36" s="2" t="str">
        <f>IF(DZ$32="","",MINDS!DZ$46)</f>
        <v/>
      </c>
      <c r="EA36" s="2" t="str">
        <f>IF(EA$32="","",MINDS!EA$46)</f>
        <v/>
      </c>
      <c r="EB36" s="2" t="str">
        <f>IF(EB$32="","",MINDS!EB$46)</f>
        <v/>
      </c>
      <c r="EC36" s="2" t="str">
        <f>IF(EC$32="","",MINDS!EC$46)</f>
        <v/>
      </c>
      <c r="ED36" s="2" t="str">
        <f>IF(ED$32="","",MINDS!ED$46)</f>
        <v/>
      </c>
      <c r="EE36" s="2" t="str">
        <f>IF(EE$32="","",MINDS!EE$46)</f>
        <v/>
      </c>
      <c r="EF36" s="2" t="str">
        <f>IF(EF$32="","",MINDS!EF$46)</f>
        <v/>
      </c>
      <c r="EG36" s="2" t="str">
        <f>IF(EG$32="","",MINDS!EG$46)</f>
        <v/>
      </c>
      <c r="EH36" s="2" t="str">
        <f>IF(EH$32="","",MINDS!EH$46)</f>
        <v/>
      </c>
      <c r="EI36" s="2" t="str">
        <f>IF(EI$32="","",MINDS!EI$46)</f>
        <v/>
      </c>
      <c r="EJ36" s="2" t="str">
        <f>IF(EJ$32="","",MINDS!EJ$46)</f>
        <v/>
      </c>
      <c r="EK36" s="2" t="str">
        <f>IF(EK$32="","",MINDS!EK$46)</f>
        <v/>
      </c>
      <c r="EL36" s="2" t="str">
        <f>IF(EL$32="","",MINDS!EL$46)</f>
        <v/>
      </c>
      <c r="EM36" s="2" t="str">
        <f>IF(EM$32="","",MINDS!EM$46)</f>
        <v/>
      </c>
      <c r="EN36" s="2" t="str">
        <f>IF(EN$32="","",MINDS!EN$46)</f>
        <v/>
      </c>
      <c r="EO36" s="2" t="str">
        <f>IF(EO$32="","",MINDS!EO$46)</f>
        <v/>
      </c>
      <c r="EP36" s="2" t="str">
        <f>IF(EP$32="","",MINDS!EP$46)</f>
        <v/>
      </c>
      <c r="EQ36" s="2" t="str">
        <f>IF(EQ$32="","",MINDS!EQ$46)</f>
        <v/>
      </c>
      <c r="ER36" s="2" t="str">
        <f>IF(ER$32="","",MINDS!ER$46)</f>
        <v/>
      </c>
      <c r="ES36" s="2" t="str">
        <f>IF(ES$32="","",MINDS!ES$46)</f>
        <v/>
      </c>
      <c r="ET36" s="2" t="str">
        <f>IF(ET$32="","",MINDS!ET$46)</f>
        <v/>
      </c>
      <c r="EU36" s="2" t="str">
        <f>IF(EU$32="","",MINDS!EU$46)</f>
        <v/>
      </c>
      <c r="EV36" s="2" t="str">
        <f>IF(EV$32="","",MINDS!EV$46)</f>
        <v/>
      </c>
      <c r="EW36" s="2" t="str">
        <f>IF(EW$32="","",MINDS!EW$46)</f>
        <v/>
      </c>
      <c r="EX36" s="2" t="str">
        <f>IF(EX$32="","",MINDS!EX$46)</f>
        <v/>
      </c>
      <c r="EY36" s="2" t="str">
        <f>IF(EY$32="","",MINDS!EY$46)</f>
        <v/>
      </c>
      <c r="EZ36" s="2" t="str">
        <f>IF(EZ$32="","",MINDS!EZ$46)</f>
        <v/>
      </c>
      <c r="FA36" s="2" t="str">
        <f>IF(FA$32="","",MINDS!FA$46)</f>
        <v/>
      </c>
      <c r="FB36" s="2" t="str">
        <f>IF(FB$32="","",MINDS!FB$46)</f>
        <v/>
      </c>
      <c r="FC36" s="2" t="str">
        <f>IF(FC$32="","",MINDS!FC$46)</f>
        <v/>
      </c>
      <c r="FD36" s="2" t="str">
        <f>IF(FD$32="","",MINDS!FD$46)</f>
        <v/>
      </c>
      <c r="FE36" s="2" t="str">
        <f>IF(FE$32="","",MINDS!FE$46)</f>
        <v/>
      </c>
      <c r="FF36" s="2" t="str">
        <f>IF(FF$32="","",MINDS!FF$46)</f>
        <v/>
      </c>
      <c r="FG36" s="2" t="str">
        <f>IF(FG$32="","",MINDS!FG$46)</f>
        <v/>
      </c>
      <c r="FH36" s="2" t="str">
        <f>IF(FH$32="","",MINDS!FH$46)</f>
        <v/>
      </c>
      <c r="FI36" s="2" t="str">
        <f>IF(FI$32="","",MINDS!FI$46)</f>
        <v/>
      </c>
      <c r="FJ36" s="2" t="str">
        <f>IF(FJ$32="","",MINDS!FJ$46)</f>
        <v/>
      </c>
      <c r="FK36" s="2" t="str">
        <f>IF(FK$32="","",MINDS!FK$46)</f>
        <v/>
      </c>
      <c r="FL36" s="2" t="str">
        <f>IF(FL$32="","",MINDS!FL$46)</f>
        <v/>
      </c>
      <c r="FM36" s="2" t="str">
        <f>IF(FM$32="","",MINDS!FM$46)</f>
        <v/>
      </c>
      <c r="FN36" s="2" t="str">
        <f>IF(FN$32="","",MINDS!FN$46)</f>
        <v/>
      </c>
      <c r="FO36" s="2" t="str">
        <f>IF(FO$32="","",MINDS!FO$46)</f>
        <v/>
      </c>
      <c r="FP36" s="2" t="str">
        <f>IF(FP$32="","",MINDS!FP$46)</f>
        <v/>
      </c>
      <c r="FQ36" s="2" t="str">
        <f>IF(FQ$32="","",MINDS!FQ$46)</f>
        <v/>
      </c>
      <c r="FR36" s="2" t="str">
        <f>IF(FR$32="","",MINDS!FR$46)</f>
        <v/>
      </c>
      <c r="FS36" s="2" t="str">
        <f>IF(FS$32="","",MINDS!FS$46)</f>
        <v/>
      </c>
      <c r="FT36" s="2" t="str">
        <f>IF(FT$32="","",MINDS!FT$46)</f>
        <v/>
      </c>
      <c r="FU36" s="2" t="str">
        <f>IF(FU$32="","",MINDS!FU$46)</f>
        <v/>
      </c>
      <c r="FV36" s="2" t="str">
        <f>IF(FV$32="","",MINDS!FV$46)</f>
        <v/>
      </c>
      <c r="FW36" s="2" t="str">
        <f>IF(FW$32="","",MINDS!FW$46)</f>
        <v/>
      </c>
      <c r="FX36" s="2" t="str">
        <f>IF(FX$32="","",MINDS!FX$46)</f>
        <v/>
      </c>
      <c r="FY36" s="2" t="str">
        <f>IF(FY$32="","",MINDS!FY$46)</f>
        <v/>
      </c>
      <c r="FZ36" s="2" t="str">
        <f>IF(FZ$32="","",MINDS!FZ$46)</f>
        <v/>
      </c>
      <c r="GA36" s="2" t="str">
        <f>IF(GA$32="","",MINDS!GA$46)</f>
        <v/>
      </c>
      <c r="GB36" s="2" t="str">
        <f>IF(GB$32="","",MINDS!GB$46)</f>
        <v/>
      </c>
      <c r="GC36" s="2" t="str">
        <f>IF(GC$32="","",MINDS!GC$46)</f>
        <v/>
      </c>
      <c r="GD36" s="2" t="str">
        <f>IF(GD$32="","",MINDS!GD$46)</f>
        <v/>
      </c>
      <c r="GE36" s="2" t="str">
        <f>IF(GE$32="","",MINDS!GE$46)</f>
        <v/>
      </c>
      <c r="GF36" s="2" t="str">
        <f>IF(GF$32="","",MINDS!GF$46)</f>
        <v/>
      </c>
      <c r="GG36" s="2" t="str">
        <f>IF(GG$32="","",MINDS!GG$46)</f>
        <v/>
      </c>
      <c r="GH36" s="2" t="str">
        <f>IF(GH$32="","",MINDS!GH$46)</f>
        <v/>
      </c>
      <c r="GI36" s="2" t="str">
        <f>IF(GI$32="","",MINDS!GI$46)</f>
        <v/>
      </c>
      <c r="GJ36" s="2" t="str">
        <f>IF(GJ$32="","",MINDS!GJ$46)</f>
        <v/>
      </c>
      <c r="GK36" s="2" t="str">
        <f>IF(GK$32="","",MINDS!GK$46)</f>
        <v/>
      </c>
      <c r="GL36" s="2" t="str">
        <f>IF(GL$32="","",MINDS!GL$46)</f>
        <v/>
      </c>
      <c r="GM36" s="2" t="str">
        <f>IF(GM$32="","",MINDS!GM$46)</f>
        <v/>
      </c>
      <c r="GN36" s="2" t="str">
        <f>IF(GN$32="","",MINDS!GN$46)</f>
        <v/>
      </c>
      <c r="GO36" s="2" t="str">
        <f>IF(GO$32="","",MINDS!GO$46)</f>
        <v/>
      </c>
      <c r="GP36" s="2" t="str">
        <f>IF(GP$32="","",MINDS!GP$46)</f>
        <v/>
      </c>
      <c r="GQ36" s="2" t="str">
        <f>IF(GQ$32="","",MINDS!GQ$46)</f>
        <v/>
      </c>
      <c r="GR36" s="2" t="str">
        <f>IF(GR$32="","",MINDS!GR$46)</f>
        <v/>
      </c>
      <c r="GS36" s="2" t="str">
        <f>IF(GS$32="","",MINDS!GS$46)</f>
        <v/>
      </c>
      <c r="GT36" s="2" t="str">
        <f>IF(GT$32="","",MINDS!GT$46)</f>
        <v/>
      </c>
      <c r="GU36" s="2" t="str">
        <f>IF(GU$32="","",MINDS!GU$46)</f>
        <v/>
      </c>
      <c r="GV36" s="2" t="str">
        <f>IF(GV$32="","",MINDS!GV$46)</f>
        <v/>
      </c>
      <c r="GW36" s="2" t="str">
        <f>IF(GW$32="","",MINDS!GW$46)</f>
        <v/>
      </c>
      <c r="GX36" s="2" t="str">
        <f>IF(GX$32="","",MINDS!GX$46)</f>
        <v/>
      </c>
      <c r="GY36" s="2" t="str">
        <f>IF(GY$32="","",MINDS!GY$46)</f>
        <v/>
      </c>
      <c r="GZ36" s="2" t="str">
        <f>IF(GZ$32="","",MINDS!GZ$46)</f>
        <v/>
      </c>
      <c r="HA36" s="2" t="str">
        <f>IF(HA$32="","",MINDS!HA$46)</f>
        <v/>
      </c>
      <c r="HB36" s="2" t="str">
        <f>IF(HB$32="","",MINDS!HB$46)</f>
        <v/>
      </c>
      <c r="HC36" s="2" t="str">
        <f>IF(HC$32="","",MINDS!HC$46)</f>
        <v/>
      </c>
      <c r="HD36" s="2" t="str">
        <f>IF(HD$32="","",MINDS!HD$46)</f>
        <v/>
      </c>
      <c r="HE36" s="2" t="str">
        <f>IF(HE$32="","",MINDS!HE$46)</f>
        <v/>
      </c>
      <c r="HF36" s="2" t="str">
        <f>IF(HF$32="","",MINDS!HF$46)</f>
        <v/>
      </c>
      <c r="HG36" s="2" t="str">
        <f>IF(HG$32="","",MINDS!HG$46)</f>
        <v/>
      </c>
      <c r="HH36" s="2" t="str">
        <f>IF(HH$32="","",MINDS!HH$46)</f>
        <v/>
      </c>
      <c r="HI36" s="2" t="str">
        <f>IF(HI$32="","",MINDS!HI$46)</f>
        <v/>
      </c>
      <c r="HJ36" s="2" t="str">
        <f>IF(HJ$32="","",MINDS!HJ$46)</f>
        <v/>
      </c>
      <c r="HK36" s="2" t="str">
        <f>IF(HK$32="","",MINDS!HK$46)</f>
        <v/>
      </c>
      <c r="HL36" s="2" t="str">
        <f>IF(HL$32="","",MINDS!HL$46)</f>
        <v/>
      </c>
      <c r="HM36" s="2" t="str">
        <f>IF(HM$32="","",MINDS!HM$46)</f>
        <v/>
      </c>
      <c r="HN36" s="2" t="str">
        <f>IF(HN$32="","",MINDS!HN$46)</f>
        <v/>
      </c>
      <c r="HO36" s="2" t="str">
        <f>IF(HO$32="","",MINDS!HO$46)</f>
        <v/>
      </c>
      <c r="HP36" s="2" t="str">
        <f>IF(HP$32="","",MINDS!HP$46)</f>
        <v/>
      </c>
      <c r="HQ36" s="2" t="str">
        <f>IF(HQ$32="","",MINDS!HQ$46)</f>
        <v/>
      </c>
      <c r="HR36" s="2" t="str">
        <f>IF(HR$32="","",MINDS!HR$46)</f>
        <v/>
      </c>
      <c r="HS36" s="2" t="str">
        <f>IF(HS$32="","",MINDS!HS$46)</f>
        <v/>
      </c>
      <c r="HT36" s="2" t="str">
        <f>IF(HT$32="","",MINDS!HT$46)</f>
        <v/>
      </c>
      <c r="HU36" s="2" t="str">
        <f>IF(HU$32="","",MINDS!HU$46)</f>
        <v/>
      </c>
      <c r="HV36" s="2" t="str">
        <f>IF(HV$32="","",MINDS!HV$46)</f>
        <v/>
      </c>
      <c r="HW36" s="2" t="str">
        <f>IF(HW$32="","",MINDS!HW$46)</f>
        <v/>
      </c>
      <c r="HX36" s="2" t="str">
        <f>IF(HX$32="","",MINDS!HX$46)</f>
        <v/>
      </c>
      <c r="HY36" s="2" t="str">
        <f>IF(HY$32="","",MINDS!HY$46)</f>
        <v/>
      </c>
      <c r="HZ36" s="2" t="str">
        <f>IF(HZ$32="","",MINDS!HZ$46)</f>
        <v/>
      </c>
      <c r="IA36" s="2" t="str">
        <f>IF(IA$32="","",MINDS!IA$46)</f>
        <v/>
      </c>
      <c r="IB36" s="2" t="str">
        <f>IF(IB$32="","",MINDS!IB$46)</f>
        <v/>
      </c>
      <c r="IC36" s="2" t="str">
        <f>IF(IC$32="","",MINDS!IC$46)</f>
        <v/>
      </c>
      <c r="ID36" s="2" t="str">
        <f>IF(ID$32="","",MINDS!ID$46)</f>
        <v/>
      </c>
      <c r="IE36" s="2" t="str">
        <f>IF(IE$32="","",MINDS!IE$46)</f>
        <v/>
      </c>
      <c r="IF36" s="2" t="str">
        <f>IF(IF$32="","",MINDS!IF$46)</f>
        <v/>
      </c>
      <c r="IG36" s="2" t="str">
        <f>IF(IG$32="","",MINDS!IG$46)</f>
        <v/>
      </c>
      <c r="IH36" s="2" t="str">
        <f>IF(IH$32="","",MINDS!IH$46)</f>
        <v/>
      </c>
      <c r="II36" s="2" t="str">
        <f>IF(II$32="","",MINDS!II$46)</f>
        <v/>
      </c>
      <c r="IJ36" s="2" t="str">
        <f>IF(IJ$32="","",MINDS!IJ$46)</f>
        <v/>
      </c>
      <c r="IK36" s="2" t="str">
        <f>IF(IK$32="","",MINDS!IK$46)</f>
        <v/>
      </c>
      <c r="IL36" s="2" t="str">
        <f>IF(IL$32="","",MINDS!IL$46)</f>
        <v/>
      </c>
      <c r="IM36" s="2" t="str">
        <f>IF(IM$32="","",MINDS!IM$46)</f>
        <v/>
      </c>
      <c r="IN36" s="2" t="str">
        <f>IF(IN$32="","",MINDS!IN$46)</f>
        <v/>
      </c>
      <c r="IO36" s="2" t="str">
        <f>IF(IO$32="","",MINDS!IO$46)</f>
        <v/>
      </c>
      <c r="IP36" s="2" t="str">
        <f>IF(IP$32="","",MINDS!IP$46)</f>
        <v/>
      </c>
      <c r="IQ36" s="2" t="str">
        <f>IF(IQ$32="","",MINDS!IQ$46)</f>
        <v/>
      </c>
      <c r="IR36" s="2" t="str">
        <f>IF(IR$32="","",MINDS!IR$46)</f>
        <v/>
      </c>
      <c r="IS36" s="2" t="str">
        <f>IF(IS$32="","",MINDS!IS$46)</f>
        <v/>
      </c>
      <c r="IT36" s="2" t="str">
        <f>IF(IT$32="","",MINDS!IT$46)</f>
        <v/>
      </c>
      <c r="IU36" s="2" t="str">
        <f>IF(IU$32="","",MINDS!IU$46)</f>
        <v/>
      </c>
      <c r="IV36" s="2" t="str">
        <f>IF(IV$32="","",MINDS!IV$46)</f>
        <v/>
      </c>
    </row>
    <row r="37" spans="1:256" x14ac:dyDescent="0.2">
      <c r="A37" s="3" t="s">
        <v>5</v>
      </c>
      <c r="C37" s="2" t="str">
        <f>IF(C$32="","",MINDS!$C$13)</f>
        <v/>
      </c>
      <c r="D37" s="2" t="str">
        <f>IF(D$32="","",MINDS!$C$13)</f>
        <v/>
      </c>
      <c r="E37" s="2" t="str">
        <f>IF(E$32="","",MINDS!$C$13)</f>
        <v/>
      </c>
      <c r="F37" s="2" t="str">
        <f>IF(F$32="","",MINDS!$C$13)</f>
        <v/>
      </c>
      <c r="G37" s="2" t="str">
        <f>IF(G$32="","",MINDS!$C$13)</f>
        <v/>
      </c>
      <c r="H37" s="2" t="str">
        <f>IF(H$32="","",MINDS!$C$13)</f>
        <v/>
      </c>
      <c r="I37" s="2" t="str">
        <f>IF(I$32="","",MINDS!$C$13)</f>
        <v/>
      </c>
      <c r="J37" s="2" t="str">
        <f>IF(J$32="","",MINDS!$C$13)</f>
        <v/>
      </c>
      <c r="K37" s="2" t="str">
        <f>IF(K$32="","",MINDS!$C$13)</f>
        <v/>
      </c>
      <c r="L37" s="2" t="str">
        <f>IF(L$32="","",MINDS!$C$13)</f>
        <v/>
      </c>
      <c r="M37" s="2" t="str">
        <f>IF(M$32="","",MINDS!$C$13)</f>
        <v/>
      </c>
      <c r="N37" s="2" t="str">
        <f>IF(N$32="","",MINDS!$C$13)</f>
        <v/>
      </c>
      <c r="O37" s="2" t="str">
        <f>IF(O$32="","",MINDS!$C$13)</f>
        <v/>
      </c>
      <c r="P37" s="2" t="str">
        <f>IF(P$32="","",MINDS!$C$13)</f>
        <v/>
      </c>
      <c r="Q37" s="2" t="str">
        <f>IF(Q$32="","",MINDS!$C$13)</f>
        <v/>
      </c>
      <c r="R37" s="2" t="str">
        <f>IF(R$32="","",MINDS!$C$13)</f>
        <v/>
      </c>
      <c r="S37" s="2" t="str">
        <f>IF(S$32="","",MINDS!$C$13)</f>
        <v/>
      </c>
      <c r="T37" s="2" t="str">
        <f>IF(T$32="","",MINDS!$C$13)</f>
        <v/>
      </c>
      <c r="U37" s="2" t="str">
        <f>IF(U$32="","",MINDS!$C$13)</f>
        <v/>
      </c>
      <c r="V37" s="2" t="str">
        <f>IF(V$32="","",MINDS!$C$13)</f>
        <v/>
      </c>
      <c r="W37" s="2" t="str">
        <f>IF(W$32="","",MINDS!$C$13)</f>
        <v/>
      </c>
      <c r="X37" s="2" t="str">
        <f>IF(X$32="","",MINDS!$C$13)</f>
        <v/>
      </c>
      <c r="Y37" s="2" t="str">
        <f>IF(Y$32="","",MINDS!$C$13)</f>
        <v/>
      </c>
      <c r="Z37" s="2" t="str">
        <f>IF(Z$32="","",MINDS!$C$13)</f>
        <v/>
      </c>
      <c r="AA37" s="2" t="str">
        <f>IF(AA$32="","",MINDS!$C$13)</f>
        <v/>
      </c>
      <c r="AB37" s="2" t="str">
        <f>IF(AB$32="","",MINDS!$C$13)</f>
        <v/>
      </c>
      <c r="AC37" s="2" t="str">
        <f>IF(AC$32="","",MINDS!$C$13)</f>
        <v/>
      </c>
      <c r="AD37" s="2" t="str">
        <f>IF(AD$32="","",MINDS!$C$13)</f>
        <v/>
      </c>
      <c r="AE37" s="2" t="str">
        <f>IF(AE$32="","",MINDS!$C$13)</f>
        <v/>
      </c>
      <c r="AF37" s="2" t="str">
        <f>IF(AF$32="","",MINDS!$C$13)</f>
        <v/>
      </c>
      <c r="AG37" s="2" t="str">
        <f>IF(AG$32="","",MINDS!$C$13)</f>
        <v/>
      </c>
      <c r="AH37" s="2" t="str">
        <f>IF(AH$32="","",MINDS!$C$13)</f>
        <v/>
      </c>
      <c r="AI37" s="2" t="str">
        <f>IF(AI$32="","",MINDS!$C$13)</f>
        <v/>
      </c>
      <c r="AJ37" s="2" t="str">
        <f>IF(AJ$32="","",MINDS!$C$13)</f>
        <v/>
      </c>
      <c r="AK37" s="2" t="str">
        <f>IF(AK$32="","",MINDS!$C$13)</f>
        <v/>
      </c>
      <c r="AL37" s="2" t="str">
        <f>IF(AL$32="","",MINDS!$C$13)</f>
        <v/>
      </c>
      <c r="AM37" s="2" t="str">
        <f>IF(AM$32="","",MINDS!$C$13)</f>
        <v/>
      </c>
      <c r="AN37" s="2" t="str">
        <f>IF(AN$32="","",MINDS!$C$13)</f>
        <v/>
      </c>
      <c r="AO37" s="2" t="str">
        <f>IF(AO$32="","",MINDS!$C$13)</f>
        <v/>
      </c>
      <c r="AP37" s="2" t="str">
        <f>IF(AP$32="","",MINDS!$C$13)</f>
        <v/>
      </c>
      <c r="AQ37" s="2" t="str">
        <f>IF(AQ$32="","",MINDS!$C$13)</f>
        <v/>
      </c>
      <c r="AR37" s="2" t="str">
        <f>IF(AR$32="","",MINDS!$C$13)</f>
        <v/>
      </c>
      <c r="AS37" s="2" t="str">
        <f>IF(AS$32="","",MINDS!$C$13)</f>
        <v/>
      </c>
      <c r="AT37" s="2" t="str">
        <f>IF(AT$32="","",MINDS!$C$13)</f>
        <v/>
      </c>
      <c r="AU37" s="2" t="str">
        <f>IF(AU$32="","",MINDS!$C$13)</f>
        <v/>
      </c>
      <c r="AV37" s="2" t="str">
        <f>IF(AV$32="","",MINDS!$C$13)</f>
        <v/>
      </c>
      <c r="AW37" s="2" t="str">
        <f>IF(AW$32="","",MINDS!$C$13)</f>
        <v/>
      </c>
      <c r="AX37" s="2" t="str">
        <f>IF(AX$32="","",MINDS!$C$13)</f>
        <v/>
      </c>
      <c r="AY37" s="2" t="str">
        <f>IF(AY$32="","",MINDS!$C$13)</f>
        <v/>
      </c>
      <c r="AZ37" s="2" t="str">
        <f>IF(AZ$32="","",MINDS!$C$13)</f>
        <v/>
      </c>
      <c r="BA37" s="2" t="str">
        <f>IF(BA$32="","",MINDS!$C$13)</f>
        <v/>
      </c>
      <c r="BB37" s="2" t="str">
        <f>IF(BB$32="","",MINDS!$C$13)</f>
        <v/>
      </c>
      <c r="BC37" s="2" t="str">
        <f>IF(BC$32="","",MINDS!$C$13)</f>
        <v/>
      </c>
      <c r="BD37" s="2" t="str">
        <f>IF(BD$32="","",MINDS!$C$13)</f>
        <v/>
      </c>
      <c r="BE37" s="2" t="str">
        <f>IF(BE$32="","",MINDS!$C$13)</f>
        <v/>
      </c>
      <c r="BF37" s="2" t="str">
        <f>IF(BF$32="","",MINDS!$C$13)</f>
        <v/>
      </c>
      <c r="BG37" s="2" t="str">
        <f>IF(BG$32="","",MINDS!$C$13)</f>
        <v/>
      </c>
      <c r="BH37" s="2" t="str">
        <f>IF(BH$32="","",MINDS!$C$13)</f>
        <v/>
      </c>
      <c r="BI37" s="2" t="str">
        <f>IF(BI$32="","",MINDS!$C$13)</f>
        <v/>
      </c>
      <c r="BJ37" s="2" t="str">
        <f>IF(BJ$32="","",MINDS!$C$13)</f>
        <v/>
      </c>
      <c r="BK37" s="2" t="str">
        <f>IF(BK$32="","",MINDS!$C$13)</f>
        <v/>
      </c>
      <c r="BL37" s="2" t="str">
        <f>IF(BL$32="","",MINDS!$C$13)</f>
        <v/>
      </c>
      <c r="BM37" s="2" t="str">
        <f>IF(BM$32="","",MINDS!$C$13)</f>
        <v/>
      </c>
      <c r="BN37" s="2" t="str">
        <f>IF(BN$32="","",MINDS!$C$13)</f>
        <v/>
      </c>
      <c r="BO37" s="2" t="str">
        <f>IF(BO$32="","",MINDS!$C$13)</f>
        <v/>
      </c>
      <c r="BP37" s="2" t="str">
        <f>IF(BP$32="","",MINDS!$C$13)</f>
        <v/>
      </c>
      <c r="BQ37" s="2" t="str">
        <f>IF(BQ$32="","",MINDS!$C$13)</f>
        <v/>
      </c>
      <c r="BR37" s="2" t="str">
        <f>IF(BR$32="","",MINDS!$C$13)</f>
        <v/>
      </c>
      <c r="BS37" s="2" t="str">
        <f>IF(BS$32="","",MINDS!$C$13)</f>
        <v/>
      </c>
      <c r="BT37" s="2" t="str">
        <f>IF(BT$32="","",MINDS!$C$13)</f>
        <v/>
      </c>
      <c r="BU37" s="2" t="str">
        <f>IF(BU$32="","",MINDS!$C$13)</f>
        <v/>
      </c>
      <c r="BV37" s="2" t="str">
        <f>IF(BV$32="","",MINDS!$C$13)</f>
        <v/>
      </c>
      <c r="BW37" s="2" t="str">
        <f>IF(BW$32="","",MINDS!$C$13)</f>
        <v/>
      </c>
      <c r="BX37" s="2" t="str">
        <f>IF(BX$32="","",MINDS!$C$13)</f>
        <v/>
      </c>
      <c r="BY37" s="2" t="str">
        <f>IF(BY$32="","",MINDS!$C$13)</f>
        <v/>
      </c>
      <c r="BZ37" s="2" t="str">
        <f>IF(BZ$32="","",MINDS!$C$13)</f>
        <v/>
      </c>
      <c r="CA37" s="2" t="str">
        <f>IF(CA$32="","",MINDS!$C$13)</f>
        <v/>
      </c>
      <c r="CB37" s="2" t="str">
        <f>IF(CB$32="","",MINDS!$C$13)</f>
        <v/>
      </c>
      <c r="CC37" s="2" t="str">
        <f>IF(CC$32="","",MINDS!$C$13)</f>
        <v/>
      </c>
      <c r="CD37" s="2" t="str">
        <f>IF(CD$32="","",MINDS!$C$13)</f>
        <v/>
      </c>
      <c r="CE37" s="2" t="str">
        <f>IF(CE$32="","",MINDS!$C$13)</f>
        <v/>
      </c>
      <c r="CF37" s="2" t="str">
        <f>IF(CF$32="","",MINDS!$C$13)</f>
        <v/>
      </c>
      <c r="CG37" s="2" t="str">
        <f>IF(CG$32="","",MINDS!$C$13)</f>
        <v/>
      </c>
      <c r="CH37" s="2" t="str">
        <f>IF(CH$32="","",MINDS!$C$13)</f>
        <v/>
      </c>
      <c r="CI37" s="2" t="str">
        <f>IF(CI$32="","",MINDS!$C$13)</f>
        <v/>
      </c>
      <c r="CJ37" s="2" t="str">
        <f>IF(CJ$32="","",MINDS!$C$13)</f>
        <v/>
      </c>
      <c r="CK37" s="2" t="str">
        <f>IF(CK$32="","",MINDS!$C$13)</f>
        <v/>
      </c>
      <c r="CL37" s="2" t="str">
        <f>IF(CL$32="","",MINDS!$C$13)</f>
        <v/>
      </c>
      <c r="CM37" s="2" t="str">
        <f>IF(CM$32="","",MINDS!$C$13)</f>
        <v/>
      </c>
      <c r="CN37" s="2" t="str">
        <f>IF(CN$32="","",MINDS!$C$13)</f>
        <v/>
      </c>
      <c r="CO37" s="2" t="str">
        <f>IF(CO$32="","",MINDS!$C$13)</f>
        <v/>
      </c>
      <c r="CP37" s="2" t="str">
        <f>IF(CP$32="","",MINDS!$C$13)</f>
        <v/>
      </c>
      <c r="CQ37" s="2" t="str">
        <f>IF(CQ$32="","",MINDS!$C$13)</f>
        <v/>
      </c>
      <c r="CR37" s="2" t="str">
        <f>IF(CR$32="","",MINDS!$C$13)</f>
        <v/>
      </c>
      <c r="CS37" s="2" t="str">
        <f>IF(CS$32="","",MINDS!$C$13)</f>
        <v/>
      </c>
      <c r="CT37" s="2" t="str">
        <f>IF(CT$32="","",MINDS!$C$13)</f>
        <v/>
      </c>
      <c r="CU37" s="2" t="str">
        <f>IF(CU$32="","",MINDS!$C$13)</f>
        <v/>
      </c>
      <c r="CV37" s="2" t="str">
        <f>IF(CV$32="","",MINDS!$C$13)</f>
        <v/>
      </c>
      <c r="CW37" s="2" t="str">
        <f>IF(CW$32="","",MINDS!$C$13)</f>
        <v/>
      </c>
      <c r="CX37" s="2" t="str">
        <f>IF(CX$32="","",MINDS!$C$13)</f>
        <v/>
      </c>
      <c r="CY37" s="2" t="str">
        <f>IF(CY$32="","",MINDS!$C$13)</f>
        <v/>
      </c>
      <c r="CZ37" s="2" t="str">
        <f>IF(CZ$32="","",MINDS!$C$13)</f>
        <v/>
      </c>
      <c r="DA37" s="2" t="str">
        <f>IF(DA$32="","",MINDS!$C$13)</f>
        <v/>
      </c>
      <c r="DB37" s="2" t="str">
        <f>IF(DB$32="","",MINDS!$C$13)</f>
        <v/>
      </c>
      <c r="DC37" s="2" t="str">
        <f>IF(DC$32="","",MINDS!$C$13)</f>
        <v/>
      </c>
      <c r="DD37" s="2" t="str">
        <f>IF(DD$32="","",MINDS!$C$13)</f>
        <v/>
      </c>
      <c r="DE37" s="2" t="str">
        <f>IF(DE$32="","",MINDS!$C$13)</f>
        <v/>
      </c>
      <c r="DF37" s="2" t="str">
        <f>IF(DF$32="","",MINDS!$C$13)</f>
        <v/>
      </c>
      <c r="DG37" s="2" t="str">
        <f>IF(DG$32="","",MINDS!$C$13)</f>
        <v/>
      </c>
      <c r="DH37" s="2" t="str">
        <f>IF(DH$32="","",MINDS!$C$13)</f>
        <v/>
      </c>
      <c r="DI37" s="2" t="str">
        <f>IF(DI$32="","",MINDS!$C$13)</f>
        <v/>
      </c>
      <c r="DJ37" s="2" t="str">
        <f>IF(DJ$32="","",MINDS!$C$13)</f>
        <v/>
      </c>
      <c r="DK37" s="2" t="str">
        <f>IF(DK$32="","",MINDS!$C$13)</f>
        <v/>
      </c>
      <c r="DL37" s="2" t="str">
        <f>IF(DL$32="","",MINDS!$C$13)</f>
        <v/>
      </c>
      <c r="DM37" s="2" t="str">
        <f>IF(DM$32="","",MINDS!$C$13)</f>
        <v/>
      </c>
      <c r="DN37" s="2" t="str">
        <f>IF(DN$32="","",MINDS!$C$13)</f>
        <v/>
      </c>
      <c r="DO37" s="2" t="str">
        <f>IF(DO$32="","",MINDS!$C$13)</f>
        <v/>
      </c>
      <c r="DP37" s="2" t="str">
        <f>IF(DP$32="","",MINDS!$C$13)</f>
        <v/>
      </c>
      <c r="DQ37" s="2" t="str">
        <f>IF(DQ$32="","",MINDS!$C$13)</f>
        <v/>
      </c>
      <c r="DR37" s="2" t="str">
        <f>IF(DR$32="","",MINDS!$C$13)</f>
        <v/>
      </c>
      <c r="DS37" s="2" t="str">
        <f>IF(DS$32="","",MINDS!$C$13)</f>
        <v/>
      </c>
      <c r="DT37" s="2" t="str">
        <f>IF(DT$32="","",MINDS!$C$13)</f>
        <v/>
      </c>
      <c r="DU37" s="2" t="str">
        <f>IF(DU$32="","",MINDS!$C$13)</f>
        <v/>
      </c>
      <c r="DV37" s="2" t="str">
        <f>IF(DV$32="","",MINDS!$C$13)</f>
        <v/>
      </c>
      <c r="DW37" s="2" t="str">
        <f>IF(DW$32="","",MINDS!$C$13)</f>
        <v/>
      </c>
      <c r="DX37" s="2" t="str">
        <f>IF(DX$32="","",MINDS!$C$13)</f>
        <v/>
      </c>
      <c r="DY37" s="2" t="str">
        <f>IF(DY$32="","",MINDS!$C$13)</f>
        <v/>
      </c>
      <c r="DZ37" s="2" t="str">
        <f>IF(DZ$32="","",MINDS!$C$13)</f>
        <v/>
      </c>
      <c r="EA37" s="2" t="str">
        <f>IF(EA$32="","",MINDS!$C$13)</f>
        <v/>
      </c>
      <c r="EB37" s="2" t="str">
        <f>IF(EB$32="","",MINDS!$C$13)</f>
        <v/>
      </c>
      <c r="EC37" s="2" t="str">
        <f>IF(EC$32="","",MINDS!$C$13)</f>
        <v/>
      </c>
      <c r="ED37" s="2" t="str">
        <f>IF(ED$32="","",MINDS!$C$13)</f>
        <v/>
      </c>
      <c r="EE37" s="2" t="str">
        <f>IF(EE$32="","",MINDS!$C$13)</f>
        <v/>
      </c>
      <c r="EF37" s="2" t="str">
        <f>IF(EF$32="","",MINDS!$C$13)</f>
        <v/>
      </c>
      <c r="EG37" s="2" t="str">
        <f>IF(EG$32="","",MINDS!$C$13)</f>
        <v/>
      </c>
      <c r="EH37" s="2" t="str">
        <f>IF(EH$32="","",MINDS!$C$13)</f>
        <v/>
      </c>
      <c r="EI37" s="2" t="str">
        <f>IF(EI$32="","",MINDS!$C$13)</f>
        <v/>
      </c>
      <c r="EJ37" s="2" t="str">
        <f>IF(EJ$32="","",MINDS!$C$13)</f>
        <v/>
      </c>
      <c r="EK37" s="2" t="str">
        <f>IF(EK$32="","",MINDS!$C$13)</f>
        <v/>
      </c>
      <c r="EL37" s="2" t="str">
        <f>IF(EL$32="","",MINDS!$C$13)</f>
        <v/>
      </c>
      <c r="EM37" s="2" t="str">
        <f>IF(EM$32="","",MINDS!$C$13)</f>
        <v/>
      </c>
      <c r="EN37" s="2" t="str">
        <f>IF(EN$32="","",MINDS!$C$13)</f>
        <v/>
      </c>
      <c r="EO37" s="2" t="str">
        <f>IF(EO$32="","",MINDS!$C$13)</f>
        <v/>
      </c>
      <c r="EP37" s="2" t="str">
        <f>IF(EP$32="","",MINDS!$C$13)</f>
        <v/>
      </c>
      <c r="EQ37" s="2" t="str">
        <f>IF(EQ$32="","",MINDS!$C$13)</f>
        <v/>
      </c>
      <c r="ER37" s="2" t="str">
        <f>IF(ER$32="","",MINDS!$C$13)</f>
        <v/>
      </c>
      <c r="ES37" s="2" t="str">
        <f>IF(ES$32="","",MINDS!$C$13)</f>
        <v/>
      </c>
      <c r="ET37" s="2" t="str">
        <f>IF(ET$32="","",MINDS!$C$13)</f>
        <v/>
      </c>
      <c r="EU37" s="2" t="str">
        <f>IF(EU$32="","",MINDS!$C$13)</f>
        <v/>
      </c>
      <c r="EV37" s="2" t="str">
        <f>IF(EV$32="","",MINDS!$C$13)</f>
        <v/>
      </c>
      <c r="EW37" s="2" t="str">
        <f>IF(EW$32="","",MINDS!$C$13)</f>
        <v/>
      </c>
      <c r="EX37" s="2" t="str">
        <f>IF(EX$32="","",MINDS!$C$13)</f>
        <v/>
      </c>
      <c r="EY37" s="2" t="str">
        <f>IF(EY$32="","",MINDS!$C$13)</f>
        <v/>
      </c>
      <c r="EZ37" s="2" t="str">
        <f>IF(EZ$32="","",MINDS!$C$13)</f>
        <v/>
      </c>
      <c r="FA37" s="2" t="str">
        <f>IF(FA$32="","",MINDS!$C$13)</f>
        <v/>
      </c>
      <c r="FB37" s="2" t="str">
        <f>IF(FB$32="","",MINDS!$C$13)</f>
        <v/>
      </c>
      <c r="FC37" s="2" t="str">
        <f>IF(FC$32="","",MINDS!$C$13)</f>
        <v/>
      </c>
      <c r="FD37" s="2" t="str">
        <f>IF(FD$32="","",MINDS!$C$13)</f>
        <v/>
      </c>
      <c r="FE37" s="2" t="str">
        <f>IF(FE$32="","",MINDS!$C$13)</f>
        <v/>
      </c>
      <c r="FF37" s="2" t="str">
        <f>IF(FF$32="","",MINDS!$C$13)</f>
        <v/>
      </c>
      <c r="FG37" s="2" t="str">
        <f>IF(FG$32="","",MINDS!$C$13)</f>
        <v/>
      </c>
      <c r="FH37" s="2" t="str">
        <f>IF(FH$32="","",MINDS!$C$13)</f>
        <v/>
      </c>
      <c r="FI37" s="2" t="str">
        <f>IF(FI$32="","",MINDS!$C$13)</f>
        <v/>
      </c>
      <c r="FJ37" s="2" t="str">
        <f>IF(FJ$32="","",MINDS!$C$13)</f>
        <v/>
      </c>
      <c r="FK37" s="2" t="str">
        <f>IF(FK$32="","",MINDS!$C$13)</f>
        <v/>
      </c>
      <c r="FL37" s="2" t="str">
        <f>IF(FL$32="","",MINDS!$C$13)</f>
        <v/>
      </c>
      <c r="FM37" s="2" t="str">
        <f>IF(FM$32="","",MINDS!$C$13)</f>
        <v/>
      </c>
      <c r="FN37" s="2" t="str">
        <f>IF(FN$32="","",MINDS!$C$13)</f>
        <v/>
      </c>
      <c r="FO37" s="2" t="str">
        <f>IF(FO$32="","",MINDS!$C$13)</f>
        <v/>
      </c>
      <c r="FP37" s="2" t="str">
        <f>IF(FP$32="","",MINDS!$C$13)</f>
        <v/>
      </c>
      <c r="FQ37" s="2" t="str">
        <f>IF(FQ$32="","",MINDS!$C$13)</f>
        <v/>
      </c>
      <c r="FR37" s="2" t="str">
        <f>IF(FR$32="","",MINDS!$C$13)</f>
        <v/>
      </c>
      <c r="FS37" s="2" t="str">
        <f>IF(FS$32="","",MINDS!$C$13)</f>
        <v/>
      </c>
      <c r="FT37" s="2" t="str">
        <f>IF(FT$32="","",MINDS!$C$13)</f>
        <v/>
      </c>
      <c r="FU37" s="2" t="str">
        <f>IF(FU$32="","",MINDS!$C$13)</f>
        <v/>
      </c>
      <c r="FV37" s="2" t="str">
        <f>IF(FV$32="","",MINDS!$C$13)</f>
        <v/>
      </c>
      <c r="FW37" s="2" t="str">
        <f>IF(FW$32="","",MINDS!$C$13)</f>
        <v/>
      </c>
      <c r="FX37" s="2" t="str">
        <f>IF(FX$32="","",MINDS!$C$13)</f>
        <v/>
      </c>
      <c r="FY37" s="2" t="str">
        <f>IF(FY$32="","",MINDS!$C$13)</f>
        <v/>
      </c>
      <c r="FZ37" s="2" t="str">
        <f>IF(FZ$32="","",MINDS!$C$13)</f>
        <v/>
      </c>
      <c r="GA37" s="2" t="str">
        <f>IF(GA$32="","",MINDS!$C$13)</f>
        <v/>
      </c>
      <c r="GB37" s="2" t="str">
        <f>IF(GB$32="","",MINDS!$C$13)</f>
        <v/>
      </c>
      <c r="GC37" s="2" t="str">
        <f>IF(GC$32="","",MINDS!$C$13)</f>
        <v/>
      </c>
      <c r="GD37" s="2" t="str">
        <f>IF(GD$32="","",MINDS!$C$13)</f>
        <v/>
      </c>
      <c r="GE37" s="2" t="str">
        <f>IF(GE$32="","",MINDS!$C$13)</f>
        <v/>
      </c>
      <c r="GF37" s="2" t="str">
        <f>IF(GF$32="","",MINDS!$C$13)</f>
        <v/>
      </c>
      <c r="GG37" s="2" t="str">
        <f>IF(GG$32="","",MINDS!$C$13)</f>
        <v/>
      </c>
      <c r="GH37" s="2" t="str">
        <f>IF(GH$32="","",MINDS!$C$13)</f>
        <v/>
      </c>
      <c r="GI37" s="2" t="str">
        <f>IF(GI$32="","",MINDS!$C$13)</f>
        <v/>
      </c>
      <c r="GJ37" s="2" t="str">
        <f>IF(GJ$32="","",MINDS!$C$13)</f>
        <v/>
      </c>
      <c r="GK37" s="2" t="str">
        <f>IF(GK$32="","",MINDS!$C$13)</f>
        <v/>
      </c>
      <c r="GL37" s="2" t="str">
        <f>IF(GL$32="","",MINDS!$C$13)</f>
        <v/>
      </c>
      <c r="GM37" s="2" t="str">
        <f>IF(GM$32="","",MINDS!$C$13)</f>
        <v/>
      </c>
      <c r="GN37" s="2" t="str">
        <f>IF(GN$32="","",MINDS!$C$13)</f>
        <v/>
      </c>
      <c r="GO37" s="2" t="str">
        <f>IF(GO$32="","",MINDS!$C$13)</f>
        <v/>
      </c>
      <c r="GP37" s="2" t="str">
        <f>IF(GP$32="","",MINDS!$C$13)</f>
        <v/>
      </c>
      <c r="GQ37" s="2" t="str">
        <f>IF(GQ$32="","",MINDS!$C$13)</f>
        <v/>
      </c>
      <c r="GR37" s="2" t="str">
        <f>IF(GR$32="","",MINDS!$C$13)</f>
        <v/>
      </c>
      <c r="GS37" s="2" t="str">
        <f>IF(GS$32="","",MINDS!$C$13)</f>
        <v/>
      </c>
      <c r="GT37" s="2" t="str">
        <f>IF(GT$32="","",MINDS!$C$13)</f>
        <v/>
      </c>
      <c r="GU37" s="2" t="str">
        <f>IF(GU$32="","",MINDS!$C$13)</f>
        <v/>
      </c>
      <c r="GV37" s="2" t="str">
        <f>IF(GV$32="","",MINDS!$C$13)</f>
        <v/>
      </c>
      <c r="GW37" s="2" t="str">
        <f>IF(GW$32="","",MINDS!$C$13)</f>
        <v/>
      </c>
      <c r="GX37" s="2" t="str">
        <f>IF(GX$32="","",MINDS!$C$13)</f>
        <v/>
      </c>
      <c r="GY37" s="2" t="str">
        <f>IF(GY$32="","",MINDS!$C$13)</f>
        <v/>
      </c>
      <c r="GZ37" s="2" t="str">
        <f>IF(GZ$32="","",MINDS!$C$13)</f>
        <v/>
      </c>
      <c r="HA37" s="2" t="str">
        <f>IF(HA$32="","",MINDS!$C$13)</f>
        <v/>
      </c>
      <c r="HB37" s="2" t="str">
        <f>IF(HB$32="","",MINDS!$C$13)</f>
        <v/>
      </c>
      <c r="HC37" s="2" t="str">
        <f>IF(HC$32="","",MINDS!$C$13)</f>
        <v/>
      </c>
      <c r="HD37" s="2" t="str">
        <f>IF(HD$32="","",MINDS!$C$13)</f>
        <v/>
      </c>
      <c r="HE37" s="2" t="str">
        <f>IF(HE$32="","",MINDS!$C$13)</f>
        <v/>
      </c>
      <c r="HF37" s="2" t="str">
        <f>IF(HF$32="","",MINDS!$C$13)</f>
        <v/>
      </c>
      <c r="HG37" s="2" t="str">
        <f>IF(HG$32="","",MINDS!$C$13)</f>
        <v/>
      </c>
      <c r="HH37" s="2" t="str">
        <f>IF(HH$32="","",MINDS!$C$13)</f>
        <v/>
      </c>
      <c r="HI37" s="2" t="str">
        <f>IF(HI$32="","",MINDS!$C$13)</f>
        <v/>
      </c>
      <c r="HJ37" s="2" t="str">
        <f>IF(HJ$32="","",MINDS!$C$13)</f>
        <v/>
      </c>
      <c r="HK37" s="2" t="str">
        <f>IF(HK$32="","",MINDS!$C$13)</f>
        <v/>
      </c>
      <c r="HL37" s="2" t="str">
        <f>IF(HL$32="","",MINDS!$C$13)</f>
        <v/>
      </c>
      <c r="HM37" s="2" t="str">
        <f>IF(HM$32="","",MINDS!$C$13)</f>
        <v/>
      </c>
      <c r="HN37" s="2" t="str">
        <f>IF(HN$32="","",MINDS!$C$13)</f>
        <v/>
      </c>
      <c r="HO37" s="2" t="str">
        <f>IF(HO$32="","",MINDS!$C$13)</f>
        <v/>
      </c>
      <c r="HP37" s="2" t="str">
        <f>IF(HP$32="","",MINDS!$C$13)</f>
        <v/>
      </c>
      <c r="HQ37" s="2" t="str">
        <f>IF(HQ$32="","",MINDS!$C$13)</f>
        <v/>
      </c>
      <c r="HR37" s="2" t="str">
        <f>IF(HR$32="","",MINDS!$C$13)</f>
        <v/>
      </c>
      <c r="HS37" s="2" t="str">
        <f>IF(HS$32="","",MINDS!$C$13)</f>
        <v/>
      </c>
      <c r="HT37" s="2" t="str">
        <f>IF(HT$32="","",MINDS!$C$13)</f>
        <v/>
      </c>
      <c r="HU37" s="2" t="str">
        <f>IF(HU$32="","",MINDS!$C$13)</f>
        <v/>
      </c>
      <c r="HV37" s="2" t="str">
        <f>IF(HV$32="","",MINDS!$C$13)</f>
        <v/>
      </c>
      <c r="HW37" s="2" t="str">
        <f>IF(HW$32="","",MINDS!$C$13)</f>
        <v/>
      </c>
      <c r="HX37" s="2" t="str">
        <f>IF(HX$32="","",MINDS!$C$13)</f>
        <v/>
      </c>
      <c r="HY37" s="2" t="str">
        <f>IF(HY$32="","",MINDS!$C$13)</f>
        <v/>
      </c>
      <c r="HZ37" s="2" t="str">
        <f>IF(HZ$32="","",MINDS!$C$13)</f>
        <v/>
      </c>
      <c r="IA37" s="2" t="str">
        <f>IF(IA$32="","",MINDS!$C$13)</f>
        <v/>
      </c>
      <c r="IB37" s="2" t="str">
        <f>IF(IB$32="","",MINDS!$C$13)</f>
        <v/>
      </c>
      <c r="IC37" s="2" t="str">
        <f>IF(IC$32="","",MINDS!$C$13)</f>
        <v/>
      </c>
      <c r="ID37" s="2" t="str">
        <f>IF(ID$32="","",MINDS!$C$13)</f>
        <v/>
      </c>
      <c r="IE37" s="2" t="str">
        <f>IF(IE$32="","",MINDS!$C$13)</f>
        <v/>
      </c>
      <c r="IF37" s="2" t="str">
        <f>IF(IF$32="","",MINDS!$C$13)</f>
        <v/>
      </c>
      <c r="IG37" s="2" t="str">
        <f>IF(IG$32="","",MINDS!$C$13)</f>
        <v/>
      </c>
      <c r="IH37" s="2" t="str">
        <f>IF(IH$32="","",MINDS!$C$13)</f>
        <v/>
      </c>
      <c r="II37" s="2" t="str">
        <f>IF(II$32="","",MINDS!$C$13)</f>
        <v/>
      </c>
      <c r="IJ37" s="2" t="str">
        <f>IF(IJ$32="","",MINDS!$C$13)</f>
        <v/>
      </c>
      <c r="IK37" s="2" t="str">
        <f>IF(IK$32="","",MINDS!$C$13)</f>
        <v/>
      </c>
      <c r="IL37" s="2" t="str">
        <f>IF(IL$32="","",MINDS!$C$13)</f>
        <v/>
      </c>
      <c r="IM37" s="2" t="str">
        <f>IF(IM$32="","",MINDS!$C$13)</f>
        <v/>
      </c>
      <c r="IN37" s="2" t="str">
        <f>IF(IN$32="","",MINDS!$C$13)</f>
        <v/>
      </c>
      <c r="IO37" s="2" t="str">
        <f>IF(IO$32="","",MINDS!$C$13)</f>
        <v/>
      </c>
      <c r="IP37" s="2" t="str">
        <f>IF(IP$32="","",MINDS!$C$13)</f>
        <v/>
      </c>
      <c r="IQ37" s="2" t="str">
        <f>IF(IQ$32="","",MINDS!$C$13)</f>
        <v/>
      </c>
      <c r="IR37" s="2" t="str">
        <f>IF(IR$32="","",MINDS!$C$13)</f>
        <v/>
      </c>
      <c r="IS37" s="2" t="str">
        <f>IF(IS$32="","",MINDS!$C$13)</f>
        <v/>
      </c>
      <c r="IT37" s="2" t="str">
        <f>IF(IT$32="","",MINDS!$C$13)</f>
        <v/>
      </c>
      <c r="IU37" s="2" t="str">
        <f>IF(IU$32="","",MINDS!$C$13)</f>
        <v/>
      </c>
      <c r="IV37" s="2" t="str">
        <f>IF(IV$32="","",MINDS!$C$13)</f>
        <v/>
      </c>
    </row>
    <row r="38" spans="1:256" x14ac:dyDescent="0.2">
      <c r="A38" s="3" t="s">
        <v>6</v>
      </c>
      <c r="C38" s="2" t="str">
        <f>IF(C$32="","",IF(MINDS!C$47="","",MINDS!C$47))</f>
        <v/>
      </c>
      <c r="D38" s="2" t="str">
        <f>IF(D$32="","",IF(MINDS!D$47="","",MINDS!D$47))</f>
        <v/>
      </c>
      <c r="E38" s="2" t="str">
        <f>IF(E$32="","",IF(MINDS!E$47="","",MINDS!E$47))</f>
        <v/>
      </c>
      <c r="F38" s="2" t="str">
        <f>IF(F$32="","",IF(MINDS!F$47="","",MINDS!F$47))</f>
        <v/>
      </c>
      <c r="G38" s="2" t="str">
        <f>IF(G$32="","",IF(MINDS!G$47="","",MINDS!G$47))</f>
        <v/>
      </c>
      <c r="H38" s="2" t="str">
        <f>IF(H$32="","",IF(MINDS!H$47="","",MINDS!H$47))</f>
        <v/>
      </c>
      <c r="I38" s="2" t="str">
        <f>IF(I$32="","",IF(MINDS!I$47="","",MINDS!I$47))</f>
        <v/>
      </c>
      <c r="J38" s="2" t="str">
        <f>IF(J$32="","",IF(MINDS!J$47="","",MINDS!J$47))</f>
        <v/>
      </c>
      <c r="K38" s="2" t="str">
        <f>IF(K$32="","",IF(MINDS!K$47="","",MINDS!K$47))</f>
        <v/>
      </c>
      <c r="L38" s="2" t="str">
        <f>IF(L$32="","",IF(MINDS!L$47="","",MINDS!L$47))</f>
        <v/>
      </c>
      <c r="M38" s="2" t="str">
        <f>IF(M$32="","",IF(MINDS!M$47="","",MINDS!M$47))</f>
        <v/>
      </c>
      <c r="N38" s="2" t="str">
        <f>IF(N$32="","",IF(MINDS!N$47="","",MINDS!N$47))</f>
        <v/>
      </c>
      <c r="O38" s="2" t="str">
        <f>IF(O$32="","",IF(MINDS!O$47="","",MINDS!O$47))</f>
        <v/>
      </c>
      <c r="P38" s="2" t="str">
        <f>IF(P$32="","",IF(MINDS!P$47="","",MINDS!P$47))</f>
        <v/>
      </c>
      <c r="Q38" s="2" t="str">
        <f>IF(Q$32="","",IF(MINDS!Q$47="","",MINDS!Q$47))</f>
        <v/>
      </c>
      <c r="R38" s="2" t="str">
        <f>IF(R$32="","",IF(MINDS!R$47="","",MINDS!R$47))</f>
        <v/>
      </c>
      <c r="S38" s="2" t="str">
        <f>IF(S$32="","",IF(MINDS!S$47="","",MINDS!S$47))</f>
        <v/>
      </c>
      <c r="T38" s="2" t="str">
        <f>IF(T$32="","",IF(MINDS!T$47="","",MINDS!T$47))</f>
        <v/>
      </c>
      <c r="U38" s="2" t="str">
        <f>IF(U$32="","",IF(MINDS!U$47="","",MINDS!U$47))</f>
        <v/>
      </c>
      <c r="V38" s="2" t="str">
        <f>IF(V$32="","",IF(MINDS!V$47="","",MINDS!V$47))</f>
        <v/>
      </c>
      <c r="W38" s="2" t="str">
        <f>IF(W$32="","",IF(MINDS!W$47="","",MINDS!W$47))</f>
        <v/>
      </c>
      <c r="X38" s="2" t="str">
        <f>IF(X$32="","",IF(MINDS!X$47="","",MINDS!X$47))</f>
        <v/>
      </c>
      <c r="Y38" s="2" t="str">
        <f>IF(Y$32="","",IF(MINDS!Y$47="","",MINDS!Y$47))</f>
        <v/>
      </c>
      <c r="Z38" s="2" t="str">
        <f>IF(Z$32="","",IF(MINDS!Z$47="","",MINDS!Z$47))</f>
        <v/>
      </c>
      <c r="AA38" s="2" t="str">
        <f>IF(AA$32="","",IF(MINDS!AA$47="","",MINDS!AA$47))</f>
        <v/>
      </c>
      <c r="AB38" s="2" t="str">
        <f>IF(AB$32="","",IF(MINDS!AB$47="","",MINDS!AB$47))</f>
        <v/>
      </c>
      <c r="AC38" s="2" t="str">
        <f>IF(AC$32="","",IF(MINDS!AC$47="","",MINDS!AC$47))</f>
        <v/>
      </c>
      <c r="AD38" s="2" t="str">
        <f>IF(AD$32="","",IF(MINDS!AD$47="","",MINDS!AD$47))</f>
        <v/>
      </c>
      <c r="AE38" s="2" t="str">
        <f>IF(AE$32="","",IF(MINDS!AE$47="","",MINDS!AE$47))</f>
        <v/>
      </c>
      <c r="AF38" s="2" t="str">
        <f>IF(AF$32="","",IF(MINDS!AF$47="","",MINDS!AF$47))</f>
        <v/>
      </c>
      <c r="AG38" s="2" t="str">
        <f>IF(AG$32="","",IF(MINDS!AG$47="","",MINDS!AG$47))</f>
        <v/>
      </c>
      <c r="AH38" s="2" t="str">
        <f>IF(AH$32="","",IF(MINDS!AH$47="","",MINDS!AH$47))</f>
        <v/>
      </c>
      <c r="AI38" s="2" t="str">
        <f>IF(AI$32="","",IF(MINDS!AI$47="","",MINDS!AI$47))</f>
        <v/>
      </c>
      <c r="AJ38" s="2" t="str">
        <f>IF(AJ$32="","",IF(MINDS!AJ$47="","",MINDS!AJ$47))</f>
        <v/>
      </c>
      <c r="AK38" s="2" t="str">
        <f>IF(AK$32="","",IF(MINDS!AK$47="","",MINDS!AK$47))</f>
        <v/>
      </c>
      <c r="AL38" s="2" t="str">
        <f>IF(AL$32="","",IF(MINDS!AL$47="","",MINDS!AL$47))</f>
        <v/>
      </c>
      <c r="AM38" s="2" t="str">
        <f>IF(AM$32="","",IF(MINDS!AM$47="","",MINDS!AM$47))</f>
        <v/>
      </c>
      <c r="AN38" s="2" t="str">
        <f>IF(AN$32="","",IF(MINDS!AN$47="","",MINDS!AN$47))</f>
        <v/>
      </c>
      <c r="AO38" s="2" t="str">
        <f>IF(AO$32="","",IF(MINDS!AO$47="","",MINDS!AO$47))</f>
        <v/>
      </c>
      <c r="AP38" s="2" t="str">
        <f>IF(AP$32="","",IF(MINDS!AP$47="","",MINDS!AP$47))</f>
        <v/>
      </c>
      <c r="AQ38" s="2" t="str">
        <f>IF(AQ$32="","",IF(MINDS!AQ$47="","",MINDS!AQ$47))</f>
        <v/>
      </c>
      <c r="AR38" s="2" t="str">
        <f>IF(AR$32="","",IF(MINDS!AR$47="","",MINDS!AR$47))</f>
        <v/>
      </c>
      <c r="AS38" s="2" t="str">
        <f>IF(AS$32="","",IF(MINDS!AS$47="","",MINDS!AS$47))</f>
        <v/>
      </c>
      <c r="AT38" s="2" t="str">
        <f>IF(AT$32="","",IF(MINDS!AT$47="","",MINDS!AT$47))</f>
        <v/>
      </c>
      <c r="AU38" s="2" t="str">
        <f>IF(AU$32="","",IF(MINDS!AU$47="","",MINDS!AU$47))</f>
        <v/>
      </c>
      <c r="AV38" s="2" t="str">
        <f>IF(AV$32="","",IF(MINDS!AV$47="","",MINDS!AV$47))</f>
        <v/>
      </c>
      <c r="AW38" s="2" t="str">
        <f>IF(AW$32="","",IF(MINDS!AW$47="","",MINDS!AW$47))</f>
        <v/>
      </c>
      <c r="AX38" s="2" t="str">
        <f>IF(AX$32="","",IF(MINDS!AX$47="","",MINDS!AX$47))</f>
        <v/>
      </c>
      <c r="AY38" s="2" t="str">
        <f>IF(AY$32="","",IF(MINDS!AY$47="","",MINDS!AY$47))</f>
        <v/>
      </c>
      <c r="AZ38" s="2" t="str">
        <f>IF(AZ$32="","",IF(MINDS!AZ$47="","",MINDS!AZ$47))</f>
        <v/>
      </c>
      <c r="BA38" s="2" t="str">
        <f>IF(BA$32="","",IF(MINDS!BA$47="","",MINDS!BA$47))</f>
        <v/>
      </c>
      <c r="BB38" s="2" t="str">
        <f>IF(BB$32="","",IF(MINDS!BB$47="","",MINDS!BB$47))</f>
        <v/>
      </c>
      <c r="BC38" s="2" t="str">
        <f>IF(BC$32="","",IF(MINDS!BC$47="","",MINDS!BC$47))</f>
        <v/>
      </c>
      <c r="BD38" s="2" t="str">
        <f>IF(BD$32="","",IF(MINDS!BD$47="","",MINDS!BD$47))</f>
        <v/>
      </c>
      <c r="BE38" s="2" t="str">
        <f>IF(BE$32="","",IF(MINDS!BE$47="","",MINDS!BE$47))</f>
        <v/>
      </c>
      <c r="BF38" s="2" t="str">
        <f>IF(BF$32="","",IF(MINDS!BF$47="","",MINDS!BF$47))</f>
        <v/>
      </c>
      <c r="BG38" s="2" t="str">
        <f>IF(BG$32="","",IF(MINDS!BG$47="","",MINDS!BG$47))</f>
        <v/>
      </c>
      <c r="BH38" s="2" t="str">
        <f>IF(BH$32="","",IF(MINDS!BH$47="","",MINDS!BH$47))</f>
        <v/>
      </c>
      <c r="BI38" s="2" t="str">
        <f>IF(BI$32="","",IF(MINDS!BI$47="","",MINDS!BI$47))</f>
        <v/>
      </c>
      <c r="BJ38" s="2" t="str">
        <f>IF(BJ$32="","",IF(MINDS!BJ$47="","",MINDS!BJ$47))</f>
        <v/>
      </c>
      <c r="BK38" s="2" t="str">
        <f>IF(BK$32="","",IF(MINDS!BK$47="","",MINDS!BK$47))</f>
        <v/>
      </c>
      <c r="BL38" s="2" t="str">
        <f>IF(BL$32="","",IF(MINDS!BL$47="","",MINDS!BL$47))</f>
        <v/>
      </c>
      <c r="BM38" s="2" t="str">
        <f>IF(BM$32="","",IF(MINDS!BM$47="","",MINDS!BM$47))</f>
        <v/>
      </c>
      <c r="BN38" s="2" t="str">
        <f>IF(BN$32="","",IF(MINDS!BN$47="","",MINDS!BN$47))</f>
        <v/>
      </c>
      <c r="BO38" s="2" t="str">
        <f>IF(BO$32="","",IF(MINDS!BO$47="","",MINDS!BO$47))</f>
        <v/>
      </c>
      <c r="BP38" s="2" t="str">
        <f>IF(BP$32="","",IF(MINDS!BP$47="","",MINDS!BP$47))</f>
        <v/>
      </c>
      <c r="BQ38" s="2" t="str">
        <f>IF(BQ$32="","",IF(MINDS!BQ$47="","",MINDS!BQ$47))</f>
        <v/>
      </c>
      <c r="BR38" s="2" t="str">
        <f>IF(BR$32="","",IF(MINDS!BR$47="","",MINDS!BR$47))</f>
        <v/>
      </c>
      <c r="BS38" s="2" t="str">
        <f>IF(BS$32="","",IF(MINDS!BS$47="","",MINDS!BS$47))</f>
        <v/>
      </c>
      <c r="BT38" s="2" t="str">
        <f>IF(BT$32="","",IF(MINDS!BT$47="","",MINDS!BT$47))</f>
        <v/>
      </c>
      <c r="BU38" s="2" t="str">
        <f>IF(BU$32="","",IF(MINDS!BU$47="","",MINDS!BU$47))</f>
        <v/>
      </c>
      <c r="BV38" s="2" t="str">
        <f>IF(BV$32="","",IF(MINDS!BV$47="","",MINDS!BV$47))</f>
        <v/>
      </c>
      <c r="BW38" s="2" t="str">
        <f>IF(BW$32="","",IF(MINDS!BW$47="","",MINDS!BW$47))</f>
        <v/>
      </c>
      <c r="BX38" s="2" t="str">
        <f>IF(BX$32="","",IF(MINDS!BX$47="","",MINDS!BX$47))</f>
        <v/>
      </c>
      <c r="BY38" s="2" t="str">
        <f>IF(BY$32="","",IF(MINDS!BY$47="","",MINDS!BY$47))</f>
        <v/>
      </c>
      <c r="BZ38" s="2" t="str">
        <f>IF(BZ$32="","",IF(MINDS!BZ$47="","",MINDS!BZ$47))</f>
        <v/>
      </c>
      <c r="CA38" s="2" t="str">
        <f>IF(CA$32="","",IF(MINDS!CA$47="","",MINDS!CA$47))</f>
        <v/>
      </c>
      <c r="CB38" s="2" t="str">
        <f>IF(CB$32="","",IF(MINDS!CB$47="","",MINDS!CB$47))</f>
        <v/>
      </c>
      <c r="CC38" s="2" t="str">
        <f>IF(CC$32="","",IF(MINDS!CC$47="","",MINDS!CC$47))</f>
        <v/>
      </c>
      <c r="CD38" s="2" t="str">
        <f>IF(CD$32="","",IF(MINDS!CD$47="","",MINDS!CD$47))</f>
        <v/>
      </c>
      <c r="CE38" s="2" t="str">
        <f>IF(CE$32="","",IF(MINDS!CE$47="","",MINDS!CE$47))</f>
        <v/>
      </c>
      <c r="CF38" s="2" t="str">
        <f>IF(CF$32="","",IF(MINDS!CF$47="","",MINDS!CF$47))</f>
        <v/>
      </c>
      <c r="CG38" s="2" t="str">
        <f>IF(CG$32="","",IF(MINDS!CG$47="","",MINDS!CG$47))</f>
        <v/>
      </c>
      <c r="CH38" s="2" t="str">
        <f>IF(CH$32="","",IF(MINDS!CH$47="","",MINDS!CH$47))</f>
        <v/>
      </c>
      <c r="CI38" s="2" t="str">
        <f>IF(CI$32="","",IF(MINDS!CI$47="","",MINDS!CI$47))</f>
        <v/>
      </c>
      <c r="CJ38" s="2" t="str">
        <f>IF(CJ$32="","",IF(MINDS!CJ$47="","",MINDS!CJ$47))</f>
        <v/>
      </c>
      <c r="CK38" s="2" t="str">
        <f>IF(CK$32="","",IF(MINDS!CK$47="","",MINDS!CK$47))</f>
        <v/>
      </c>
      <c r="CL38" s="2" t="str">
        <f>IF(CL$32="","",IF(MINDS!CL$47="","",MINDS!CL$47))</f>
        <v/>
      </c>
      <c r="CM38" s="2" t="str">
        <f>IF(CM$32="","",IF(MINDS!CM$47="","",MINDS!CM$47))</f>
        <v/>
      </c>
      <c r="CN38" s="2" t="str">
        <f>IF(CN$32="","",IF(MINDS!CN$47="","",MINDS!CN$47))</f>
        <v/>
      </c>
      <c r="CO38" s="2" t="str">
        <f>IF(CO$32="","",IF(MINDS!CO$47="","",MINDS!CO$47))</f>
        <v/>
      </c>
      <c r="CP38" s="2" t="str">
        <f>IF(CP$32="","",IF(MINDS!CP$47="","",MINDS!CP$47))</f>
        <v/>
      </c>
      <c r="CQ38" s="2" t="str">
        <f>IF(CQ$32="","",IF(MINDS!CQ$47="","",MINDS!CQ$47))</f>
        <v/>
      </c>
      <c r="CR38" s="2" t="str">
        <f>IF(CR$32="","",IF(MINDS!CR$47="","",MINDS!CR$47))</f>
        <v/>
      </c>
      <c r="CS38" s="2" t="str">
        <f>IF(CS$32="","",IF(MINDS!CS$47="","",MINDS!CS$47))</f>
        <v/>
      </c>
      <c r="CT38" s="2" t="str">
        <f>IF(CT$32="","",IF(MINDS!CT$47="","",MINDS!CT$47))</f>
        <v/>
      </c>
      <c r="CU38" s="2" t="str">
        <f>IF(CU$32="","",IF(MINDS!CU$47="","",MINDS!CU$47))</f>
        <v/>
      </c>
      <c r="CV38" s="2" t="str">
        <f>IF(CV$32="","",IF(MINDS!CV$47="","",MINDS!CV$47))</f>
        <v/>
      </c>
      <c r="CW38" s="2" t="str">
        <f>IF(CW$32="","",IF(MINDS!CW$47="","",MINDS!CW$47))</f>
        <v/>
      </c>
      <c r="CX38" s="2" t="str">
        <f>IF(CX$32="","",IF(MINDS!CX$47="","",MINDS!CX$47))</f>
        <v/>
      </c>
      <c r="CY38" s="2" t="str">
        <f>IF(CY$32="","",IF(MINDS!CY$47="","",MINDS!CY$47))</f>
        <v/>
      </c>
      <c r="CZ38" s="2" t="str">
        <f>IF(CZ$32="","",IF(MINDS!CZ$47="","",MINDS!CZ$47))</f>
        <v/>
      </c>
      <c r="DA38" s="2" t="str">
        <f>IF(DA$32="","",IF(MINDS!DA$47="","",MINDS!DA$47))</f>
        <v/>
      </c>
      <c r="DB38" s="2" t="str">
        <f>IF(DB$32="","",IF(MINDS!DB$47="","",MINDS!DB$47))</f>
        <v/>
      </c>
      <c r="DC38" s="2" t="str">
        <f>IF(DC$32="","",IF(MINDS!DC$47="","",MINDS!DC$47))</f>
        <v/>
      </c>
      <c r="DD38" s="2" t="str">
        <f>IF(DD$32="","",IF(MINDS!DD$47="","",MINDS!DD$47))</f>
        <v/>
      </c>
      <c r="DE38" s="2" t="str">
        <f>IF(DE$32="","",IF(MINDS!DE$47="","",MINDS!DE$47))</f>
        <v/>
      </c>
      <c r="DF38" s="2" t="str">
        <f>IF(DF$32="","",IF(MINDS!DF$47="","",MINDS!DF$47))</f>
        <v/>
      </c>
      <c r="DG38" s="2" t="str">
        <f>IF(DG$32="","",IF(MINDS!DG$47="","",MINDS!DG$47))</f>
        <v/>
      </c>
      <c r="DH38" s="2" t="str">
        <f>IF(DH$32="","",IF(MINDS!DH$47="","",MINDS!DH$47))</f>
        <v/>
      </c>
      <c r="DI38" s="2" t="str">
        <f>IF(DI$32="","",IF(MINDS!DI$47="","",MINDS!DI$47))</f>
        <v/>
      </c>
      <c r="DJ38" s="2" t="str">
        <f>IF(DJ$32="","",IF(MINDS!DJ$47="","",MINDS!DJ$47))</f>
        <v/>
      </c>
      <c r="DK38" s="2" t="str">
        <f>IF(DK$32="","",IF(MINDS!DK$47="","",MINDS!DK$47))</f>
        <v/>
      </c>
      <c r="DL38" s="2" t="str">
        <f>IF(DL$32="","",IF(MINDS!DL$47="","",MINDS!DL$47))</f>
        <v/>
      </c>
      <c r="DM38" s="2" t="str">
        <f>IF(DM$32="","",IF(MINDS!DM$47="","",MINDS!DM$47))</f>
        <v/>
      </c>
      <c r="DN38" s="2" t="str">
        <f>IF(DN$32="","",IF(MINDS!DN$47="","",MINDS!DN$47))</f>
        <v/>
      </c>
      <c r="DO38" s="2" t="str">
        <f>IF(DO$32="","",IF(MINDS!DO$47="","",MINDS!DO$47))</f>
        <v/>
      </c>
      <c r="DP38" s="2" t="str">
        <f>IF(DP$32="","",IF(MINDS!DP$47="","",MINDS!DP$47))</f>
        <v/>
      </c>
      <c r="DQ38" s="2" t="str">
        <f>IF(DQ$32="","",IF(MINDS!DQ$47="","",MINDS!DQ$47))</f>
        <v/>
      </c>
      <c r="DR38" s="2" t="str">
        <f>IF(DR$32="","",IF(MINDS!DR$47="","",MINDS!DR$47))</f>
        <v/>
      </c>
      <c r="DS38" s="2" t="str">
        <f>IF(DS$32="","",IF(MINDS!DS$47="","",MINDS!DS$47))</f>
        <v/>
      </c>
      <c r="DT38" s="2" t="str">
        <f>IF(DT$32="","",IF(MINDS!DT$47="","",MINDS!DT$47))</f>
        <v/>
      </c>
      <c r="DU38" s="2" t="str">
        <f>IF(DU$32="","",IF(MINDS!DU$47="","",MINDS!DU$47))</f>
        <v/>
      </c>
      <c r="DV38" s="2" t="str">
        <f>IF(DV$32="","",IF(MINDS!DV$47="","",MINDS!DV$47))</f>
        <v/>
      </c>
      <c r="DW38" s="2" t="str">
        <f>IF(DW$32="","",IF(MINDS!DW$47="","",MINDS!DW$47))</f>
        <v/>
      </c>
      <c r="DX38" s="2" t="str">
        <f>IF(DX$32="","",IF(MINDS!DX$47="","",MINDS!DX$47))</f>
        <v/>
      </c>
      <c r="DY38" s="2" t="str">
        <f>IF(DY$32="","",IF(MINDS!DY$47="","",MINDS!DY$47))</f>
        <v/>
      </c>
      <c r="DZ38" s="2" t="str">
        <f>IF(DZ$32="","",IF(MINDS!DZ$47="","",MINDS!DZ$47))</f>
        <v/>
      </c>
      <c r="EA38" s="2" t="str">
        <f>IF(EA$32="","",IF(MINDS!EA$47="","",MINDS!EA$47))</f>
        <v/>
      </c>
      <c r="EB38" s="2" t="str">
        <f>IF(EB$32="","",IF(MINDS!EB$47="","",MINDS!EB$47))</f>
        <v/>
      </c>
      <c r="EC38" s="2" t="str">
        <f>IF(EC$32="","",IF(MINDS!EC$47="","",MINDS!EC$47))</f>
        <v/>
      </c>
      <c r="ED38" s="2" t="str">
        <f>IF(ED$32="","",IF(MINDS!ED$47="","",MINDS!ED$47))</f>
        <v/>
      </c>
      <c r="EE38" s="2" t="str">
        <f>IF(EE$32="","",IF(MINDS!EE$47="","",MINDS!EE$47))</f>
        <v/>
      </c>
      <c r="EF38" s="2" t="str">
        <f>IF(EF$32="","",IF(MINDS!EF$47="","",MINDS!EF$47))</f>
        <v/>
      </c>
      <c r="EG38" s="2" t="str">
        <f>IF(EG$32="","",IF(MINDS!EG$47="","",MINDS!EG$47))</f>
        <v/>
      </c>
      <c r="EH38" s="2" t="str">
        <f>IF(EH$32="","",IF(MINDS!EH$47="","",MINDS!EH$47))</f>
        <v/>
      </c>
      <c r="EI38" s="2" t="str">
        <f>IF(EI$32="","",IF(MINDS!EI$47="","",MINDS!EI$47))</f>
        <v/>
      </c>
      <c r="EJ38" s="2" t="str">
        <f>IF(EJ$32="","",IF(MINDS!EJ$47="","",MINDS!EJ$47))</f>
        <v/>
      </c>
      <c r="EK38" s="2" t="str">
        <f>IF(EK$32="","",IF(MINDS!EK$47="","",MINDS!EK$47))</f>
        <v/>
      </c>
      <c r="EL38" s="2" t="str">
        <f>IF(EL$32="","",IF(MINDS!EL$47="","",MINDS!EL$47))</f>
        <v/>
      </c>
      <c r="EM38" s="2" t="str">
        <f>IF(EM$32="","",IF(MINDS!EM$47="","",MINDS!EM$47))</f>
        <v/>
      </c>
      <c r="EN38" s="2" t="str">
        <f>IF(EN$32="","",IF(MINDS!EN$47="","",MINDS!EN$47))</f>
        <v/>
      </c>
      <c r="EO38" s="2" t="str">
        <f>IF(EO$32="","",IF(MINDS!EO$47="","",MINDS!EO$47))</f>
        <v/>
      </c>
      <c r="EP38" s="2" t="str">
        <f>IF(EP$32="","",IF(MINDS!EP$47="","",MINDS!EP$47))</f>
        <v/>
      </c>
      <c r="EQ38" s="2" t="str">
        <f>IF(EQ$32="","",IF(MINDS!EQ$47="","",MINDS!EQ$47))</f>
        <v/>
      </c>
      <c r="ER38" s="2" t="str">
        <f>IF(ER$32="","",IF(MINDS!ER$47="","",MINDS!ER$47))</f>
        <v/>
      </c>
      <c r="ES38" s="2" t="str">
        <f>IF(ES$32="","",IF(MINDS!ES$47="","",MINDS!ES$47))</f>
        <v/>
      </c>
      <c r="ET38" s="2" t="str">
        <f>IF(ET$32="","",IF(MINDS!ET$47="","",MINDS!ET$47))</f>
        <v/>
      </c>
      <c r="EU38" s="2" t="str">
        <f>IF(EU$32="","",IF(MINDS!EU$47="","",MINDS!EU$47))</f>
        <v/>
      </c>
      <c r="EV38" s="2" t="str">
        <f>IF(EV$32="","",IF(MINDS!EV$47="","",MINDS!EV$47))</f>
        <v/>
      </c>
      <c r="EW38" s="2" t="str">
        <f>IF(EW$32="","",IF(MINDS!EW$47="","",MINDS!EW$47))</f>
        <v/>
      </c>
      <c r="EX38" s="2" t="str">
        <f>IF(EX$32="","",IF(MINDS!EX$47="","",MINDS!EX$47))</f>
        <v/>
      </c>
      <c r="EY38" s="2" t="str">
        <f>IF(EY$32="","",IF(MINDS!EY$47="","",MINDS!EY$47))</f>
        <v/>
      </c>
      <c r="EZ38" s="2" t="str">
        <f>IF(EZ$32="","",IF(MINDS!EZ$47="","",MINDS!EZ$47))</f>
        <v/>
      </c>
      <c r="FA38" s="2" t="str">
        <f>IF(FA$32="","",IF(MINDS!FA$47="","",MINDS!FA$47))</f>
        <v/>
      </c>
      <c r="FB38" s="2" t="str">
        <f>IF(FB$32="","",IF(MINDS!FB$47="","",MINDS!FB$47))</f>
        <v/>
      </c>
      <c r="FC38" s="2" t="str">
        <f>IF(FC$32="","",IF(MINDS!FC$47="","",MINDS!FC$47))</f>
        <v/>
      </c>
      <c r="FD38" s="2" t="str">
        <f>IF(FD$32="","",IF(MINDS!FD$47="","",MINDS!FD$47))</f>
        <v/>
      </c>
      <c r="FE38" s="2" t="str">
        <f>IF(FE$32="","",IF(MINDS!FE$47="","",MINDS!FE$47))</f>
        <v/>
      </c>
      <c r="FF38" s="2" t="str">
        <f>IF(FF$32="","",IF(MINDS!FF$47="","",MINDS!FF$47))</f>
        <v/>
      </c>
      <c r="FG38" s="2" t="str">
        <f>IF(FG$32="","",IF(MINDS!FG$47="","",MINDS!FG$47))</f>
        <v/>
      </c>
      <c r="FH38" s="2" t="str">
        <f>IF(FH$32="","",IF(MINDS!FH$47="","",MINDS!FH$47))</f>
        <v/>
      </c>
      <c r="FI38" s="2" t="str">
        <f>IF(FI$32="","",IF(MINDS!FI$47="","",MINDS!FI$47))</f>
        <v/>
      </c>
      <c r="FJ38" s="2" t="str">
        <f>IF(FJ$32="","",IF(MINDS!FJ$47="","",MINDS!FJ$47))</f>
        <v/>
      </c>
      <c r="FK38" s="2" t="str">
        <f>IF(FK$32="","",IF(MINDS!FK$47="","",MINDS!FK$47))</f>
        <v/>
      </c>
      <c r="FL38" s="2" t="str">
        <f>IF(FL$32="","",IF(MINDS!FL$47="","",MINDS!FL$47))</f>
        <v/>
      </c>
      <c r="FM38" s="2" t="str">
        <f>IF(FM$32="","",IF(MINDS!FM$47="","",MINDS!FM$47))</f>
        <v/>
      </c>
      <c r="FN38" s="2" t="str">
        <f>IF(FN$32="","",IF(MINDS!FN$47="","",MINDS!FN$47))</f>
        <v/>
      </c>
      <c r="FO38" s="2" t="str">
        <f>IF(FO$32="","",IF(MINDS!FO$47="","",MINDS!FO$47))</f>
        <v/>
      </c>
      <c r="FP38" s="2" t="str">
        <f>IF(FP$32="","",IF(MINDS!FP$47="","",MINDS!FP$47))</f>
        <v/>
      </c>
      <c r="FQ38" s="2" t="str">
        <f>IF(FQ$32="","",IF(MINDS!FQ$47="","",MINDS!FQ$47))</f>
        <v/>
      </c>
      <c r="FR38" s="2" t="str">
        <f>IF(FR$32="","",IF(MINDS!FR$47="","",MINDS!FR$47))</f>
        <v/>
      </c>
      <c r="FS38" s="2" t="str">
        <f>IF(FS$32="","",IF(MINDS!FS$47="","",MINDS!FS$47))</f>
        <v/>
      </c>
      <c r="FT38" s="2" t="str">
        <f>IF(FT$32="","",IF(MINDS!FT$47="","",MINDS!FT$47))</f>
        <v/>
      </c>
      <c r="FU38" s="2" t="str">
        <f>IF(FU$32="","",IF(MINDS!FU$47="","",MINDS!FU$47))</f>
        <v/>
      </c>
      <c r="FV38" s="2" t="str">
        <f>IF(FV$32="","",IF(MINDS!FV$47="","",MINDS!FV$47))</f>
        <v/>
      </c>
      <c r="FW38" s="2" t="str">
        <f>IF(FW$32="","",IF(MINDS!FW$47="","",MINDS!FW$47))</f>
        <v/>
      </c>
      <c r="FX38" s="2" t="str">
        <f>IF(FX$32="","",IF(MINDS!FX$47="","",MINDS!FX$47))</f>
        <v/>
      </c>
      <c r="FY38" s="2" t="str">
        <f>IF(FY$32="","",IF(MINDS!FY$47="","",MINDS!FY$47))</f>
        <v/>
      </c>
      <c r="FZ38" s="2" t="str">
        <f>IF(FZ$32="","",IF(MINDS!FZ$47="","",MINDS!FZ$47))</f>
        <v/>
      </c>
      <c r="GA38" s="2" t="str">
        <f>IF(GA$32="","",IF(MINDS!GA$47="","",MINDS!GA$47))</f>
        <v/>
      </c>
      <c r="GB38" s="2" t="str">
        <f>IF(GB$32="","",IF(MINDS!GB$47="","",MINDS!GB$47))</f>
        <v/>
      </c>
      <c r="GC38" s="2" t="str">
        <f>IF(GC$32="","",IF(MINDS!GC$47="","",MINDS!GC$47))</f>
        <v/>
      </c>
      <c r="GD38" s="2" t="str">
        <f>IF(GD$32="","",IF(MINDS!GD$47="","",MINDS!GD$47))</f>
        <v/>
      </c>
      <c r="GE38" s="2" t="str">
        <f>IF(GE$32="","",IF(MINDS!GE$47="","",MINDS!GE$47))</f>
        <v/>
      </c>
      <c r="GF38" s="2" t="str">
        <f>IF(GF$32="","",IF(MINDS!GF$47="","",MINDS!GF$47))</f>
        <v/>
      </c>
      <c r="GG38" s="2" t="str">
        <f>IF(GG$32="","",IF(MINDS!GG$47="","",MINDS!GG$47))</f>
        <v/>
      </c>
      <c r="GH38" s="2" t="str">
        <f>IF(GH$32="","",IF(MINDS!GH$47="","",MINDS!GH$47))</f>
        <v/>
      </c>
      <c r="GI38" s="2" t="str">
        <f>IF(GI$32="","",IF(MINDS!GI$47="","",MINDS!GI$47))</f>
        <v/>
      </c>
      <c r="GJ38" s="2" t="str">
        <f>IF(GJ$32="","",IF(MINDS!GJ$47="","",MINDS!GJ$47))</f>
        <v/>
      </c>
      <c r="GK38" s="2" t="str">
        <f>IF(GK$32="","",IF(MINDS!GK$47="","",MINDS!GK$47))</f>
        <v/>
      </c>
      <c r="GL38" s="2" t="str">
        <f>IF(GL$32="","",IF(MINDS!GL$47="","",MINDS!GL$47))</f>
        <v/>
      </c>
      <c r="GM38" s="2" t="str">
        <f>IF(GM$32="","",IF(MINDS!GM$47="","",MINDS!GM$47))</f>
        <v/>
      </c>
      <c r="GN38" s="2" t="str">
        <f>IF(GN$32="","",IF(MINDS!GN$47="","",MINDS!GN$47))</f>
        <v/>
      </c>
      <c r="GO38" s="2" t="str">
        <f>IF(GO$32="","",IF(MINDS!GO$47="","",MINDS!GO$47))</f>
        <v/>
      </c>
      <c r="GP38" s="2" t="str">
        <f>IF(GP$32="","",IF(MINDS!GP$47="","",MINDS!GP$47))</f>
        <v/>
      </c>
      <c r="GQ38" s="2" t="str">
        <f>IF(GQ$32="","",IF(MINDS!GQ$47="","",MINDS!GQ$47))</f>
        <v/>
      </c>
      <c r="GR38" s="2" t="str">
        <f>IF(GR$32="","",IF(MINDS!GR$47="","",MINDS!GR$47))</f>
        <v/>
      </c>
      <c r="GS38" s="2" t="str">
        <f>IF(GS$32="","",IF(MINDS!GS$47="","",MINDS!GS$47))</f>
        <v/>
      </c>
      <c r="GT38" s="2" t="str">
        <f>IF(GT$32="","",IF(MINDS!GT$47="","",MINDS!GT$47))</f>
        <v/>
      </c>
      <c r="GU38" s="2" t="str">
        <f>IF(GU$32="","",IF(MINDS!GU$47="","",MINDS!GU$47))</f>
        <v/>
      </c>
      <c r="GV38" s="2" t="str">
        <f>IF(GV$32="","",IF(MINDS!GV$47="","",MINDS!GV$47))</f>
        <v/>
      </c>
      <c r="GW38" s="2" t="str">
        <f>IF(GW$32="","",IF(MINDS!GW$47="","",MINDS!GW$47))</f>
        <v/>
      </c>
      <c r="GX38" s="2" t="str">
        <f>IF(GX$32="","",IF(MINDS!GX$47="","",MINDS!GX$47))</f>
        <v/>
      </c>
      <c r="GY38" s="2" t="str">
        <f>IF(GY$32="","",IF(MINDS!GY$47="","",MINDS!GY$47))</f>
        <v/>
      </c>
      <c r="GZ38" s="2" t="str">
        <f>IF(GZ$32="","",IF(MINDS!GZ$47="","",MINDS!GZ$47))</f>
        <v/>
      </c>
      <c r="HA38" s="2" t="str">
        <f>IF(HA$32="","",IF(MINDS!HA$47="","",MINDS!HA$47))</f>
        <v/>
      </c>
      <c r="HB38" s="2" t="str">
        <f>IF(HB$32="","",IF(MINDS!HB$47="","",MINDS!HB$47))</f>
        <v/>
      </c>
      <c r="HC38" s="2" t="str">
        <f>IF(HC$32="","",IF(MINDS!HC$47="","",MINDS!HC$47))</f>
        <v/>
      </c>
      <c r="HD38" s="2" t="str">
        <f>IF(HD$32="","",IF(MINDS!HD$47="","",MINDS!HD$47))</f>
        <v/>
      </c>
      <c r="HE38" s="2" t="str">
        <f>IF(HE$32="","",IF(MINDS!HE$47="","",MINDS!HE$47))</f>
        <v/>
      </c>
      <c r="HF38" s="2" t="str">
        <f>IF(HF$32="","",IF(MINDS!HF$47="","",MINDS!HF$47))</f>
        <v/>
      </c>
      <c r="HG38" s="2" t="str">
        <f>IF(HG$32="","",IF(MINDS!HG$47="","",MINDS!HG$47))</f>
        <v/>
      </c>
      <c r="HH38" s="2" t="str">
        <f>IF(HH$32="","",IF(MINDS!HH$47="","",MINDS!HH$47))</f>
        <v/>
      </c>
      <c r="HI38" s="2" t="str">
        <f>IF(HI$32="","",IF(MINDS!HI$47="","",MINDS!HI$47))</f>
        <v/>
      </c>
      <c r="HJ38" s="2" t="str">
        <f>IF(HJ$32="","",IF(MINDS!HJ$47="","",MINDS!HJ$47))</f>
        <v/>
      </c>
      <c r="HK38" s="2" t="str">
        <f>IF(HK$32="","",IF(MINDS!HK$47="","",MINDS!HK$47))</f>
        <v/>
      </c>
      <c r="HL38" s="2" t="str">
        <f>IF(HL$32="","",IF(MINDS!HL$47="","",MINDS!HL$47))</f>
        <v/>
      </c>
      <c r="HM38" s="2" t="str">
        <f>IF(HM$32="","",IF(MINDS!HM$47="","",MINDS!HM$47))</f>
        <v/>
      </c>
      <c r="HN38" s="2" t="str">
        <f>IF(HN$32="","",IF(MINDS!HN$47="","",MINDS!HN$47))</f>
        <v/>
      </c>
      <c r="HO38" s="2" t="str">
        <f>IF(HO$32="","",IF(MINDS!HO$47="","",MINDS!HO$47))</f>
        <v/>
      </c>
      <c r="HP38" s="2" t="str">
        <f>IF(HP$32="","",IF(MINDS!HP$47="","",MINDS!HP$47))</f>
        <v/>
      </c>
      <c r="HQ38" s="2" t="str">
        <f>IF(HQ$32="","",IF(MINDS!HQ$47="","",MINDS!HQ$47))</f>
        <v/>
      </c>
      <c r="HR38" s="2" t="str">
        <f>IF(HR$32="","",IF(MINDS!HR$47="","",MINDS!HR$47))</f>
        <v/>
      </c>
      <c r="HS38" s="2" t="str">
        <f>IF(HS$32="","",IF(MINDS!HS$47="","",MINDS!HS$47))</f>
        <v/>
      </c>
      <c r="HT38" s="2" t="str">
        <f>IF(HT$32="","",IF(MINDS!HT$47="","",MINDS!HT$47))</f>
        <v/>
      </c>
      <c r="HU38" s="2" t="str">
        <f>IF(HU$32="","",IF(MINDS!HU$47="","",MINDS!HU$47))</f>
        <v/>
      </c>
      <c r="HV38" s="2" t="str">
        <f>IF(HV$32="","",IF(MINDS!HV$47="","",MINDS!HV$47))</f>
        <v/>
      </c>
      <c r="HW38" s="2" t="str">
        <f>IF(HW$32="","",IF(MINDS!HW$47="","",MINDS!HW$47))</f>
        <v/>
      </c>
      <c r="HX38" s="2" t="str">
        <f>IF(HX$32="","",IF(MINDS!HX$47="","",MINDS!HX$47))</f>
        <v/>
      </c>
      <c r="HY38" s="2" t="str">
        <f>IF(HY$32="","",IF(MINDS!HY$47="","",MINDS!HY$47))</f>
        <v/>
      </c>
      <c r="HZ38" s="2" t="str">
        <f>IF(HZ$32="","",IF(MINDS!HZ$47="","",MINDS!HZ$47))</f>
        <v/>
      </c>
      <c r="IA38" s="2" t="str">
        <f>IF(IA$32="","",IF(MINDS!IA$47="","",MINDS!IA$47))</f>
        <v/>
      </c>
      <c r="IB38" s="2" t="str">
        <f>IF(IB$32="","",IF(MINDS!IB$47="","",MINDS!IB$47))</f>
        <v/>
      </c>
      <c r="IC38" s="2" t="str">
        <f>IF(IC$32="","",IF(MINDS!IC$47="","",MINDS!IC$47))</f>
        <v/>
      </c>
      <c r="ID38" s="2" t="str">
        <f>IF(ID$32="","",IF(MINDS!ID$47="","",MINDS!ID$47))</f>
        <v/>
      </c>
      <c r="IE38" s="2" t="str">
        <f>IF(IE$32="","",IF(MINDS!IE$47="","",MINDS!IE$47))</f>
        <v/>
      </c>
      <c r="IF38" s="2" t="str">
        <f>IF(IF$32="","",IF(MINDS!IF$47="","",MINDS!IF$47))</f>
        <v/>
      </c>
      <c r="IG38" s="2" t="str">
        <f>IF(IG$32="","",IF(MINDS!IG$47="","",MINDS!IG$47))</f>
        <v/>
      </c>
      <c r="IH38" s="2" t="str">
        <f>IF(IH$32="","",IF(MINDS!IH$47="","",MINDS!IH$47))</f>
        <v/>
      </c>
      <c r="II38" s="2" t="str">
        <f>IF(II$32="","",IF(MINDS!II$47="","",MINDS!II$47))</f>
        <v/>
      </c>
      <c r="IJ38" s="2" t="str">
        <f>IF(IJ$32="","",IF(MINDS!IJ$47="","",MINDS!IJ$47))</f>
        <v/>
      </c>
      <c r="IK38" s="2" t="str">
        <f>IF(IK$32="","",IF(MINDS!IK$47="","",MINDS!IK$47))</f>
        <v/>
      </c>
      <c r="IL38" s="2" t="str">
        <f>IF(IL$32="","",IF(MINDS!IL$47="","",MINDS!IL$47))</f>
        <v/>
      </c>
      <c r="IM38" s="2" t="str">
        <f>IF(IM$32="","",IF(MINDS!IM$47="","",MINDS!IM$47))</f>
        <v/>
      </c>
      <c r="IN38" s="2" t="str">
        <f>IF(IN$32="","",IF(MINDS!IN$47="","",MINDS!IN$47))</f>
        <v/>
      </c>
      <c r="IO38" s="2" t="str">
        <f>IF(IO$32="","",IF(MINDS!IO$47="","",MINDS!IO$47))</f>
        <v/>
      </c>
      <c r="IP38" s="2" t="str">
        <f>IF(IP$32="","",IF(MINDS!IP$47="","",MINDS!IP$47))</f>
        <v/>
      </c>
      <c r="IQ38" s="2" t="str">
        <f>IF(IQ$32="","",IF(MINDS!IQ$47="","",MINDS!IQ$47))</f>
        <v/>
      </c>
      <c r="IR38" s="2" t="str">
        <f>IF(IR$32="","",IF(MINDS!IR$47="","",MINDS!IR$47))</f>
        <v/>
      </c>
      <c r="IS38" s="2" t="str">
        <f>IF(IS$32="","",IF(MINDS!IS$47="","",MINDS!IS$47))</f>
        <v/>
      </c>
      <c r="IT38" s="2" t="str">
        <f>IF(IT$32="","",IF(MINDS!IT$47="","",MINDS!IT$47))</f>
        <v/>
      </c>
      <c r="IU38" s="2" t="str">
        <f>IF(IU$32="","",IF(MINDS!IU$47="","",MINDS!IU$47))</f>
        <v/>
      </c>
      <c r="IV38" s="2" t="str">
        <f>IF(IV$32="","",IF(MINDS!IV$47="","",MINDS!IV$47))</f>
        <v/>
      </c>
    </row>
    <row r="39" spans="1:256" x14ac:dyDescent="0.2">
      <c r="A39" s="3"/>
    </row>
    <row r="40" spans="1:256" x14ac:dyDescent="0.2">
      <c r="A40" s="4" t="s">
        <v>7</v>
      </c>
      <c r="B40" s="6" t="e">
        <f>COLUMNS(DatasetLookup)/2</f>
        <v>#NAME?</v>
      </c>
    </row>
    <row r="41" spans="1:256" x14ac:dyDescent="0.2">
      <c r="A41" s="3" t="str">
        <f>A40&amp;"ID"</f>
        <v>DatasetID</v>
      </c>
      <c r="C41" s="2" t="str">
        <f>IF(ISBLANK(MINDS!C$56),"",MINDS!C$56)</f>
        <v/>
      </c>
      <c r="D41" s="2" t="str">
        <f>IF(ISBLANK(MINDS!D$56),"",MINDS!D$56)</f>
        <v/>
      </c>
      <c r="E41" s="2" t="str">
        <f>IF(ISBLANK(MINDS!E$56),"",MINDS!E$56)</f>
        <v/>
      </c>
      <c r="F41" s="2" t="str">
        <f>IF(ISBLANK(MINDS!F$56),"",MINDS!F$56)</f>
        <v/>
      </c>
      <c r="G41" s="2" t="str">
        <f>IF(ISBLANK(MINDS!G$56),"",MINDS!G$56)</f>
        <v/>
      </c>
      <c r="H41" s="2" t="str">
        <f>IF(ISBLANK(MINDS!H$56),"",MINDS!H$56)</f>
        <v/>
      </c>
      <c r="I41" s="2" t="str">
        <f>IF(ISBLANK(MINDS!I$56),"",MINDS!I$56)</f>
        <v/>
      </c>
      <c r="J41" s="2" t="str">
        <f>IF(ISBLANK(MINDS!J$56),"",MINDS!J$56)</f>
        <v/>
      </c>
      <c r="K41" s="2" t="str">
        <f>IF(ISBLANK(MINDS!K$56),"",MINDS!K$56)</f>
        <v/>
      </c>
      <c r="L41" s="2" t="str">
        <f>IF(ISBLANK(MINDS!L$56),"",MINDS!L$56)</f>
        <v/>
      </c>
      <c r="M41" s="2" t="str">
        <f>IF(ISBLANK(MINDS!M$56),"",MINDS!M$56)</f>
        <v/>
      </c>
      <c r="N41" s="2" t="str">
        <f>IF(ISBLANK(MINDS!N$56),"",MINDS!N$56)</f>
        <v/>
      </c>
      <c r="O41" s="2" t="str">
        <f>IF(ISBLANK(MINDS!O$56),"",MINDS!O$56)</f>
        <v/>
      </c>
      <c r="P41" s="2" t="str">
        <f>IF(ISBLANK(MINDS!P$56),"",MINDS!P$56)</f>
        <v/>
      </c>
      <c r="Q41" s="2" t="str">
        <f>IF(ISBLANK(MINDS!Q$56),"",MINDS!Q$56)</f>
        <v/>
      </c>
      <c r="R41" s="2" t="str">
        <f>IF(ISBLANK(MINDS!R$56),"",MINDS!R$56)</f>
        <v/>
      </c>
      <c r="S41" s="2" t="str">
        <f>IF(ISBLANK(MINDS!S$56),"",MINDS!S$56)</f>
        <v/>
      </c>
      <c r="T41" s="2" t="str">
        <f>IF(ISBLANK(MINDS!T$56),"",MINDS!T$56)</f>
        <v/>
      </c>
      <c r="U41" s="2" t="str">
        <f>IF(ISBLANK(MINDS!U$56),"",MINDS!U$56)</f>
        <v/>
      </c>
      <c r="V41" s="2" t="str">
        <f>IF(ISBLANK(MINDS!V$56),"",MINDS!V$56)</f>
        <v/>
      </c>
      <c r="W41" s="2" t="str">
        <f>IF(ISBLANK(MINDS!W$56),"",MINDS!W$56)</f>
        <v/>
      </c>
      <c r="X41" s="2" t="str">
        <f>IF(ISBLANK(MINDS!X$56),"",MINDS!X$56)</f>
        <v/>
      </c>
      <c r="Y41" s="2" t="str">
        <f>IF(ISBLANK(MINDS!Y$56),"",MINDS!Y$56)</f>
        <v/>
      </c>
      <c r="Z41" s="2" t="str">
        <f>IF(ISBLANK(MINDS!Z$56),"",MINDS!Z$56)</f>
        <v/>
      </c>
      <c r="AA41" s="2" t="str">
        <f>IF(ISBLANK(MINDS!AA$56),"",MINDS!AA$56)</f>
        <v/>
      </c>
      <c r="AB41" s="2" t="str">
        <f>IF(ISBLANK(MINDS!AB$56),"",MINDS!AB$56)</f>
        <v/>
      </c>
      <c r="AC41" s="2" t="str">
        <f>IF(ISBLANK(MINDS!AC$56),"",MINDS!AC$56)</f>
        <v/>
      </c>
      <c r="AD41" s="2" t="str">
        <f>IF(ISBLANK(MINDS!AD$56),"",MINDS!AD$56)</f>
        <v/>
      </c>
      <c r="AE41" s="2" t="str">
        <f>IF(ISBLANK(MINDS!AE$56),"",MINDS!AE$56)</f>
        <v/>
      </c>
      <c r="AF41" s="2" t="str">
        <f>IF(ISBLANK(MINDS!AF$56),"",MINDS!AF$56)</f>
        <v/>
      </c>
      <c r="AG41" s="2" t="str">
        <f>IF(ISBLANK(MINDS!AG$56),"",MINDS!AG$56)</f>
        <v/>
      </c>
      <c r="AH41" s="2" t="str">
        <f>IF(ISBLANK(MINDS!AH$56),"",MINDS!AH$56)</f>
        <v/>
      </c>
      <c r="AI41" s="2" t="str">
        <f>IF(ISBLANK(MINDS!AI$56),"",MINDS!AI$56)</f>
        <v/>
      </c>
      <c r="AJ41" s="2" t="str">
        <f>IF(ISBLANK(MINDS!AJ$56),"",MINDS!AJ$56)</f>
        <v/>
      </c>
      <c r="AK41" s="2" t="str">
        <f>IF(ISBLANK(MINDS!AK$56),"",MINDS!AK$56)</f>
        <v/>
      </c>
      <c r="AL41" s="2" t="str">
        <f>IF(ISBLANK(MINDS!AL$56),"",MINDS!AL$56)</f>
        <v/>
      </c>
      <c r="AM41" s="2" t="str">
        <f>IF(ISBLANK(MINDS!AM$56),"",MINDS!AM$56)</f>
        <v/>
      </c>
      <c r="AN41" s="2" t="str">
        <f>IF(ISBLANK(MINDS!AN$56),"",MINDS!AN$56)</f>
        <v/>
      </c>
      <c r="AO41" s="2" t="str">
        <f>IF(ISBLANK(MINDS!AO$56),"",MINDS!AO$56)</f>
        <v/>
      </c>
      <c r="AP41" s="2" t="str">
        <f>IF(ISBLANK(MINDS!AP$56),"",MINDS!AP$56)</f>
        <v/>
      </c>
      <c r="AQ41" s="2" t="str">
        <f>IF(ISBLANK(MINDS!AQ$56),"",MINDS!AQ$56)</f>
        <v/>
      </c>
      <c r="AR41" s="2" t="str">
        <f>IF(ISBLANK(MINDS!AR$56),"",MINDS!AR$56)</f>
        <v/>
      </c>
      <c r="AS41" s="2" t="str">
        <f>IF(ISBLANK(MINDS!AS$56),"",MINDS!AS$56)</f>
        <v/>
      </c>
      <c r="AT41" s="2" t="str">
        <f>IF(ISBLANK(MINDS!AT$56),"",MINDS!AT$56)</f>
        <v/>
      </c>
      <c r="AU41" s="2" t="str">
        <f>IF(ISBLANK(MINDS!AU$56),"",MINDS!AU$56)</f>
        <v/>
      </c>
      <c r="AV41" s="2" t="str">
        <f>IF(ISBLANK(MINDS!AV$56),"",MINDS!AV$56)</f>
        <v/>
      </c>
      <c r="AW41" s="2" t="str">
        <f>IF(ISBLANK(MINDS!AW$56),"",MINDS!AW$56)</f>
        <v/>
      </c>
      <c r="AX41" s="2" t="str">
        <f>IF(ISBLANK(MINDS!AX$56),"",MINDS!AX$56)</f>
        <v/>
      </c>
      <c r="AY41" s="2" t="str">
        <f>IF(ISBLANK(MINDS!AY$56),"",MINDS!AY$56)</f>
        <v/>
      </c>
      <c r="AZ41" s="2" t="str">
        <f>IF(ISBLANK(MINDS!AZ$56),"",MINDS!AZ$56)</f>
        <v/>
      </c>
      <c r="BA41" s="2" t="str">
        <f>IF(ISBLANK(MINDS!BA$56),"",MINDS!BA$56)</f>
        <v/>
      </c>
      <c r="BB41" s="2" t="str">
        <f>IF(ISBLANK(MINDS!BB$56),"",MINDS!BB$56)</f>
        <v/>
      </c>
      <c r="BC41" s="2" t="str">
        <f>IF(ISBLANK(MINDS!BC$56),"",MINDS!BC$56)</f>
        <v/>
      </c>
      <c r="BD41" s="2" t="str">
        <f>IF(ISBLANK(MINDS!BD$56),"",MINDS!BD$56)</f>
        <v/>
      </c>
      <c r="BE41" s="2" t="str">
        <f>IF(ISBLANK(MINDS!BE$56),"",MINDS!BE$56)</f>
        <v/>
      </c>
      <c r="BF41" s="2" t="str">
        <f>IF(ISBLANK(MINDS!BF$56),"",MINDS!BF$56)</f>
        <v/>
      </c>
      <c r="BG41" s="2" t="str">
        <f>IF(ISBLANK(MINDS!BG$56),"",MINDS!BG$56)</f>
        <v/>
      </c>
      <c r="BH41" s="2" t="str">
        <f>IF(ISBLANK(MINDS!BH$56),"",MINDS!BH$56)</f>
        <v/>
      </c>
      <c r="BI41" s="2" t="str">
        <f>IF(ISBLANK(MINDS!BI$56),"",MINDS!BI$56)</f>
        <v/>
      </c>
      <c r="BJ41" s="2" t="str">
        <f>IF(ISBLANK(MINDS!BJ$56),"",MINDS!BJ$56)</f>
        <v/>
      </c>
      <c r="BK41" s="2" t="str">
        <f>IF(ISBLANK(MINDS!BK$56),"",MINDS!BK$56)</f>
        <v/>
      </c>
      <c r="BL41" s="2" t="str">
        <f>IF(ISBLANK(MINDS!BL$56),"",MINDS!BL$56)</f>
        <v/>
      </c>
      <c r="BM41" s="2" t="str">
        <f>IF(ISBLANK(MINDS!BM$56),"",MINDS!BM$56)</f>
        <v/>
      </c>
      <c r="BN41" s="2" t="str">
        <f>IF(ISBLANK(MINDS!BN$56),"",MINDS!BN$56)</f>
        <v/>
      </c>
      <c r="BO41" s="2" t="str">
        <f>IF(ISBLANK(MINDS!BO$56),"",MINDS!BO$56)</f>
        <v/>
      </c>
      <c r="BP41" s="2" t="str">
        <f>IF(ISBLANK(MINDS!BP$56),"",MINDS!BP$56)</f>
        <v/>
      </c>
      <c r="BQ41" s="2" t="str">
        <f>IF(ISBLANK(MINDS!BQ$56),"",MINDS!BQ$56)</f>
        <v/>
      </c>
      <c r="BR41" s="2" t="str">
        <f>IF(ISBLANK(MINDS!BR$56),"",MINDS!BR$56)</f>
        <v/>
      </c>
      <c r="BS41" s="2" t="str">
        <f>IF(ISBLANK(MINDS!BS$56),"",MINDS!BS$56)</f>
        <v/>
      </c>
      <c r="BT41" s="2" t="str">
        <f>IF(ISBLANK(MINDS!BT$56),"",MINDS!BT$56)</f>
        <v/>
      </c>
      <c r="BU41" s="2" t="str">
        <f>IF(ISBLANK(MINDS!BU$56),"",MINDS!BU$56)</f>
        <v/>
      </c>
      <c r="BV41" s="2" t="str">
        <f>IF(ISBLANK(MINDS!BV$56),"",MINDS!BV$56)</f>
        <v/>
      </c>
      <c r="BW41" s="2" t="str">
        <f>IF(ISBLANK(MINDS!BW$56),"",MINDS!BW$56)</f>
        <v/>
      </c>
      <c r="BX41" s="2" t="str">
        <f>IF(ISBLANK(MINDS!BX$56),"",MINDS!BX$56)</f>
        <v/>
      </c>
      <c r="BY41" s="2" t="str">
        <f>IF(ISBLANK(MINDS!BY$56),"",MINDS!BY$56)</f>
        <v/>
      </c>
      <c r="BZ41" s="2" t="str">
        <f>IF(ISBLANK(MINDS!BZ$56),"",MINDS!BZ$56)</f>
        <v/>
      </c>
      <c r="CA41" s="2" t="str">
        <f>IF(ISBLANK(MINDS!CA$56),"",MINDS!CA$56)</f>
        <v/>
      </c>
      <c r="CB41" s="2" t="str">
        <f>IF(ISBLANK(MINDS!CB$56),"",MINDS!CB$56)</f>
        <v/>
      </c>
      <c r="CC41" s="2" t="str">
        <f>IF(ISBLANK(MINDS!CC$56),"",MINDS!CC$56)</f>
        <v/>
      </c>
      <c r="CD41" s="2" t="str">
        <f>IF(ISBLANK(MINDS!CD$56),"",MINDS!CD$56)</f>
        <v/>
      </c>
      <c r="CE41" s="2" t="str">
        <f>IF(ISBLANK(MINDS!CE$56),"",MINDS!CE$56)</f>
        <v/>
      </c>
      <c r="CF41" s="2" t="str">
        <f>IF(ISBLANK(MINDS!CF$56),"",MINDS!CF$56)</f>
        <v/>
      </c>
      <c r="CG41" s="2" t="str">
        <f>IF(ISBLANK(MINDS!CG$56),"",MINDS!CG$56)</f>
        <v/>
      </c>
      <c r="CH41" s="2" t="str">
        <f>IF(ISBLANK(MINDS!CH$56),"",MINDS!CH$56)</f>
        <v/>
      </c>
      <c r="CI41" s="2" t="str">
        <f>IF(ISBLANK(MINDS!CI$56),"",MINDS!CI$56)</f>
        <v/>
      </c>
      <c r="CJ41" s="2" t="str">
        <f>IF(ISBLANK(MINDS!CJ$56),"",MINDS!CJ$56)</f>
        <v/>
      </c>
      <c r="CK41" s="2" t="str">
        <f>IF(ISBLANK(MINDS!CK$56),"",MINDS!CK$56)</f>
        <v/>
      </c>
      <c r="CL41" s="2" t="str">
        <f>IF(ISBLANK(MINDS!CL$56),"",MINDS!CL$56)</f>
        <v/>
      </c>
      <c r="CM41" s="2" t="str">
        <f>IF(ISBLANK(MINDS!CM$56),"",MINDS!CM$56)</f>
        <v/>
      </c>
      <c r="CN41" s="2" t="str">
        <f>IF(ISBLANK(MINDS!CN$56),"",MINDS!CN$56)</f>
        <v/>
      </c>
      <c r="CO41" s="2" t="str">
        <f>IF(ISBLANK(MINDS!CO$56),"",MINDS!CO$56)</f>
        <v/>
      </c>
      <c r="CP41" s="2" t="str">
        <f>IF(ISBLANK(MINDS!CP$56),"",MINDS!CP$56)</f>
        <v/>
      </c>
      <c r="CQ41" s="2" t="str">
        <f>IF(ISBLANK(MINDS!CQ$56),"",MINDS!CQ$56)</f>
        <v/>
      </c>
      <c r="CR41" s="2" t="str">
        <f>IF(ISBLANK(MINDS!CR$56),"",MINDS!CR$56)</f>
        <v/>
      </c>
      <c r="CS41" s="2" t="str">
        <f>IF(ISBLANK(MINDS!CS$56),"",MINDS!CS$56)</f>
        <v/>
      </c>
      <c r="CT41" s="2" t="str">
        <f>IF(ISBLANK(MINDS!CT$56),"",MINDS!CT$56)</f>
        <v/>
      </c>
      <c r="CU41" s="2" t="str">
        <f>IF(ISBLANK(MINDS!CU$56),"",MINDS!CU$56)</f>
        <v/>
      </c>
      <c r="CV41" s="2" t="str">
        <f>IF(ISBLANK(MINDS!CV$56),"",MINDS!CV$56)</f>
        <v/>
      </c>
      <c r="CW41" s="2" t="str">
        <f>IF(ISBLANK(MINDS!CW$56),"",MINDS!CW$56)</f>
        <v/>
      </c>
      <c r="CX41" s="2" t="str">
        <f>IF(ISBLANK(MINDS!CX$56),"",MINDS!CX$56)</f>
        <v/>
      </c>
      <c r="CY41" s="2" t="str">
        <f>IF(ISBLANK(MINDS!CY$56),"",MINDS!CY$56)</f>
        <v/>
      </c>
      <c r="CZ41" s="2" t="str">
        <f>IF(ISBLANK(MINDS!CZ$56),"",MINDS!CZ$56)</f>
        <v/>
      </c>
      <c r="DA41" s="2" t="str">
        <f>IF(ISBLANK(MINDS!DA$56),"",MINDS!DA$56)</f>
        <v/>
      </c>
      <c r="DB41" s="2" t="str">
        <f>IF(ISBLANK(MINDS!DB$56),"",MINDS!DB$56)</f>
        <v/>
      </c>
      <c r="DC41" s="2" t="str">
        <f>IF(ISBLANK(MINDS!DC$56),"",MINDS!DC$56)</f>
        <v/>
      </c>
      <c r="DD41" s="2" t="str">
        <f>IF(ISBLANK(MINDS!DD$56),"",MINDS!DD$56)</f>
        <v/>
      </c>
      <c r="DE41" s="2" t="str">
        <f>IF(ISBLANK(MINDS!DE$56),"",MINDS!DE$56)</f>
        <v/>
      </c>
      <c r="DF41" s="2" t="str">
        <f>IF(ISBLANK(MINDS!DF$56),"",MINDS!DF$56)</f>
        <v/>
      </c>
      <c r="DG41" s="2" t="str">
        <f>IF(ISBLANK(MINDS!DG$56),"",MINDS!DG$56)</f>
        <v/>
      </c>
      <c r="DH41" s="2" t="str">
        <f>IF(ISBLANK(MINDS!DH$56),"",MINDS!DH$56)</f>
        <v/>
      </c>
      <c r="DI41" s="2" t="str">
        <f>IF(ISBLANK(MINDS!DI$56),"",MINDS!DI$56)</f>
        <v/>
      </c>
      <c r="DJ41" s="2" t="str">
        <f>IF(ISBLANK(MINDS!DJ$56),"",MINDS!DJ$56)</f>
        <v/>
      </c>
      <c r="DK41" s="2" t="str">
        <f>IF(ISBLANK(MINDS!DK$56),"",MINDS!DK$56)</f>
        <v/>
      </c>
      <c r="DL41" s="2" t="str">
        <f>IF(ISBLANK(MINDS!DL$56),"",MINDS!DL$56)</f>
        <v/>
      </c>
      <c r="DM41" s="2" t="str">
        <f>IF(ISBLANK(MINDS!DM$56),"",MINDS!DM$56)</f>
        <v/>
      </c>
      <c r="DN41" s="2" t="str">
        <f>IF(ISBLANK(MINDS!DN$56),"",MINDS!DN$56)</f>
        <v/>
      </c>
      <c r="DO41" s="2" t="str">
        <f>IF(ISBLANK(MINDS!DO$56),"",MINDS!DO$56)</f>
        <v/>
      </c>
      <c r="DP41" s="2" t="str">
        <f>IF(ISBLANK(MINDS!DP$56),"",MINDS!DP$56)</f>
        <v/>
      </c>
      <c r="DQ41" s="2" t="str">
        <f>IF(ISBLANK(MINDS!DQ$56),"",MINDS!DQ$56)</f>
        <v/>
      </c>
      <c r="DR41" s="2" t="str">
        <f>IF(ISBLANK(MINDS!DR$56),"",MINDS!DR$56)</f>
        <v/>
      </c>
      <c r="DS41" s="2" t="str">
        <f>IF(ISBLANK(MINDS!DS$56),"",MINDS!DS$56)</f>
        <v/>
      </c>
      <c r="DT41" s="2" t="str">
        <f>IF(ISBLANK(MINDS!DT$56),"",MINDS!DT$56)</f>
        <v/>
      </c>
      <c r="DU41" s="2" t="str">
        <f>IF(ISBLANK(MINDS!DU$56),"",MINDS!DU$56)</f>
        <v/>
      </c>
      <c r="DV41" s="2" t="str">
        <f>IF(ISBLANK(MINDS!DV$56),"",MINDS!DV$56)</f>
        <v/>
      </c>
      <c r="DW41" s="2" t="str">
        <f>IF(ISBLANK(MINDS!DW$56),"",MINDS!DW$56)</f>
        <v/>
      </c>
      <c r="DX41" s="2" t="str">
        <f>IF(ISBLANK(MINDS!DX$56),"",MINDS!DX$56)</f>
        <v/>
      </c>
      <c r="DY41" s="2" t="str">
        <f>IF(ISBLANK(MINDS!DY$56),"",MINDS!DY$56)</f>
        <v/>
      </c>
      <c r="DZ41" s="2" t="str">
        <f>IF(ISBLANK(MINDS!DZ$56),"",MINDS!DZ$56)</f>
        <v/>
      </c>
      <c r="EA41" s="2" t="str">
        <f>IF(ISBLANK(MINDS!EA$56),"",MINDS!EA$56)</f>
        <v/>
      </c>
      <c r="EB41" s="2" t="str">
        <f>IF(ISBLANK(MINDS!EB$56),"",MINDS!EB$56)</f>
        <v/>
      </c>
      <c r="EC41" s="2" t="str">
        <f>IF(ISBLANK(MINDS!EC$56),"",MINDS!EC$56)</f>
        <v/>
      </c>
      <c r="ED41" s="2" t="str">
        <f>IF(ISBLANK(MINDS!ED$56),"",MINDS!ED$56)</f>
        <v/>
      </c>
      <c r="EE41" s="2" t="str">
        <f>IF(ISBLANK(MINDS!EE$56),"",MINDS!EE$56)</f>
        <v/>
      </c>
      <c r="EF41" s="2" t="str">
        <f>IF(ISBLANK(MINDS!EF$56),"",MINDS!EF$56)</f>
        <v/>
      </c>
      <c r="EG41" s="2" t="str">
        <f>IF(ISBLANK(MINDS!EG$56),"",MINDS!EG$56)</f>
        <v/>
      </c>
      <c r="EH41" s="2" t="str">
        <f>IF(ISBLANK(MINDS!EH$56),"",MINDS!EH$56)</f>
        <v/>
      </c>
      <c r="EI41" s="2" t="str">
        <f>IF(ISBLANK(MINDS!EI$56),"",MINDS!EI$56)</f>
        <v/>
      </c>
      <c r="EJ41" s="2" t="str">
        <f>IF(ISBLANK(MINDS!EJ$56),"",MINDS!EJ$56)</f>
        <v/>
      </c>
      <c r="EK41" s="2" t="str">
        <f>IF(ISBLANK(MINDS!EK$56),"",MINDS!EK$56)</f>
        <v/>
      </c>
      <c r="EL41" s="2" t="str">
        <f>IF(ISBLANK(MINDS!EL$56),"",MINDS!EL$56)</f>
        <v/>
      </c>
      <c r="EM41" s="2" t="str">
        <f>IF(ISBLANK(MINDS!EM$56),"",MINDS!EM$56)</f>
        <v/>
      </c>
      <c r="EN41" s="2" t="str">
        <f>IF(ISBLANK(MINDS!EN$56),"",MINDS!EN$56)</f>
        <v/>
      </c>
      <c r="EO41" s="2" t="str">
        <f>IF(ISBLANK(MINDS!EO$56),"",MINDS!EO$56)</f>
        <v/>
      </c>
      <c r="EP41" s="2" t="str">
        <f>IF(ISBLANK(MINDS!EP$56),"",MINDS!EP$56)</f>
        <v/>
      </c>
      <c r="EQ41" s="2" t="str">
        <f>IF(ISBLANK(MINDS!EQ$56),"",MINDS!EQ$56)</f>
        <v/>
      </c>
      <c r="ER41" s="2" t="str">
        <f>IF(ISBLANK(MINDS!ER$56),"",MINDS!ER$56)</f>
        <v/>
      </c>
      <c r="ES41" s="2" t="str">
        <f>IF(ISBLANK(MINDS!ES$56),"",MINDS!ES$56)</f>
        <v/>
      </c>
      <c r="ET41" s="2" t="str">
        <f>IF(ISBLANK(MINDS!ET$56),"",MINDS!ET$56)</f>
        <v/>
      </c>
      <c r="EU41" s="2" t="str">
        <f>IF(ISBLANK(MINDS!EU$56),"",MINDS!EU$56)</f>
        <v/>
      </c>
      <c r="EV41" s="2" t="str">
        <f>IF(ISBLANK(MINDS!EV$56),"",MINDS!EV$56)</f>
        <v/>
      </c>
      <c r="EW41" s="2" t="str">
        <f>IF(ISBLANK(MINDS!EW$56),"",MINDS!EW$56)</f>
        <v/>
      </c>
      <c r="EX41" s="2" t="str">
        <f>IF(ISBLANK(MINDS!EX$56),"",MINDS!EX$56)</f>
        <v/>
      </c>
      <c r="EY41" s="2" t="str">
        <f>IF(ISBLANK(MINDS!EY$56),"",MINDS!EY$56)</f>
        <v/>
      </c>
      <c r="EZ41" s="2" t="str">
        <f>IF(ISBLANK(MINDS!EZ$56),"",MINDS!EZ$56)</f>
        <v/>
      </c>
      <c r="FA41" s="2" t="str">
        <f>IF(ISBLANK(MINDS!FA$56),"",MINDS!FA$56)</f>
        <v/>
      </c>
      <c r="FB41" s="2" t="str">
        <f>IF(ISBLANK(MINDS!FB$56),"",MINDS!FB$56)</f>
        <v/>
      </c>
      <c r="FC41" s="2" t="str">
        <f>IF(ISBLANK(MINDS!FC$56),"",MINDS!FC$56)</f>
        <v/>
      </c>
      <c r="FD41" s="2" t="str">
        <f>IF(ISBLANK(MINDS!FD$56),"",MINDS!FD$56)</f>
        <v/>
      </c>
      <c r="FE41" s="2" t="str">
        <f>IF(ISBLANK(MINDS!FE$56),"",MINDS!FE$56)</f>
        <v/>
      </c>
      <c r="FF41" s="2" t="str">
        <f>IF(ISBLANK(MINDS!FF$56),"",MINDS!FF$56)</f>
        <v/>
      </c>
      <c r="FG41" s="2" t="str">
        <f>IF(ISBLANK(MINDS!FG$56),"",MINDS!FG$56)</f>
        <v/>
      </c>
      <c r="FH41" s="2" t="str">
        <f>IF(ISBLANK(MINDS!FH$56),"",MINDS!FH$56)</f>
        <v/>
      </c>
      <c r="FI41" s="2" t="str">
        <f>IF(ISBLANK(MINDS!FI$56),"",MINDS!FI$56)</f>
        <v/>
      </c>
      <c r="FJ41" s="2" t="str">
        <f>IF(ISBLANK(MINDS!FJ$56),"",MINDS!FJ$56)</f>
        <v/>
      </c>
      <c r="FK41" s="2" t="str">
        <f>IF(ISBLANK(MINDS!FK$56),"",MINDS!FK$56)</f>
        <v/>
      </c>
      <c r="FL41" s="2" t="str">
        <f>IF(ISBLANK(MINDS!FL$56),"",MINDS!FL$56)</f>
        <v/>
      </c>
      <c r="FM41" s="2" t="str">
        <f>IF(ISBLANK(MINDS!FM$56),"",MINDS!FM$56)</f>
        <v/>
      </c>
      <c r="FN41" s="2" t="str">
        <f>IF(ISBLANK(MINDS!FN$56),"",MINDS!FN$56)</f>
        <v/>
      </c>
      <c r="FO41" s="2" t="str">
        <f>IF(ISBLANK(MINDS!FO$56),"",MINDS!FO$56)</f>
        <v/>
      </c>
      <c r="FP41" s="2" t="str">
        <f>IF(ISBLANK(MINDS!FP$56),"",MINDS!FP$56)</f>
        <v/>
      </c>
      <c r="FQ41" s="2" t="str">
        <f>IF(ISBLANK(MINDS!FQ$56),"",MINDS!FQ$56)</f>
        <v/>
      </c>
      <c r="FR41" s="2" t="str">
        <f>IF(ISBLANK(MINDS!FR$56),"",MINDS!FR$56)</f>
        <v/>
      </c>
      <c r="FS41" s="2" t="str">
        <f>IF(ISBLANK(MINDS!FS$56),"",MINDS!FS$56)</f>
        <v/>
      </c>
      <c r="FT41" s="2" t="str">
        <f>IF(ISBLANK(MINDS!FT$56),"",MINDS!FT$56)</f>
        <v/>
      </c>
      <c r="FU41" s="2" t="str">
        <f>IF(ISBLANK(MINDS!FU$56),"",MINDS!FU$56)</f>
        <v/>
      </c>
      <c r="FV41" s="2" t="str">
        <f>IF(ISBLANK(MINDS!FV$56),"",MINDS!FV$56)</f>
        <v/>
      </c>
      <c r="FW41" s="2" t="str">
        <f>IF(ISBLANK(MINDS!FW$56),"",MINDS!FW$56)</f>
        <v/>
      </c>
      <c r="FX41" s="2" t="str">
        <f>IF(ISBLANK(MINDS!FX$56),"",MINDS!FX$56)</f>
        <v/>
      </c>
      <c r="FY41" s="2" t="str">
        <f>IF(ISBLANK(MINDS!FY$56),"",MINDS!FY$56)</f>
        <v/>
      </c>
      <c r="FZ41" s="2" t="str">
        <f>IF(ISBLANK(MINDS!FZ$56),"",MINDS!FZ$56)</f>
        <v/>
      </c>
      <c r="GA41" s="2" t="str">
        <f>IF(ISBLANK(MINDS!GA$56),"",MINDS!GA$56)</f>
        <v/>
      </c>
      <c r="GB41" s="2" t="str">
        <f>IF(ISBLANK(MINDS!GB$56),"",MINDS!GB$56)</f>
        <v/>
      </c>
      <c r="GC41" s="2" t="str">
        <f>IF(ISBLANK(MINDS!GC$56),"",MINDS!GC$56)</f>
        <v/>
      </c>
      <c r="GD41" s="2" t="str">
        <f>IF(ISBLANK(MINDS!GD$56),"",MINDS!GD$56)</f>
        <v/>
      </c>
      <c r="GE41" s="2" t="str">
        <f>IF(ISBLANK(MINDS!GE$56),"",MINDS!GE$56)</f>
        <v/>
      </c>
      <c r="GF41" s="2" t="str">
        <f>IF(ISBLANK(MINDS!GF$56),"",MINDS!GF$56)</f>
        <v/>
      </c>
      <c r="GG41" s="2" t="str">
        <f>IF(ISBLANK(MINDS!GG$56),"",MINDS!GG$56)</f>
        <v/>
      </c>
      <c r="GH41" s="2" t="str">
        <f>IF(ISBLANK(MINDS!GH$56),"",MINDS!GH$56)</f>
        <v/>
      </c>
      <c r="GI41" s="2" t="str">
        <f>IF(ISBLANK(MINDS!GI$56),"",MINDS!GI$56)</f>
        <v/>
      </c>
      <c r="GJ41" s="2" t="str">
        <f>IF(ISBLANK(MINDS!GJ$56),"",MINDS!GJ$56)</f>
        <v/>
      </c>
      <c r="GK41" s="2" t="str">
        <f>IF(ISBLANK(MINDS!GK$56),"",MINDS!GK$56)</f>
        <v/>
      </c>
      <c r="GL41" s="2" t="str">
        <f>IF(ISBLANK(MINDS!GL$56),"",MINDS!GL$56)</f>
        <v/>
      </c>
      <c r="GM41" s="2" t="str">
        <f>IF(ISBLANK(MINDS!GM$56),"",MINDS!GM$56)</f>
        <v/>
      </c>
      <c r="GN41" s="2" t="str">
        <f>IF(ISBLANK(MINDS!GN$56),"",MINDS!GN$56)</f>
        <v/>
      </c>
      <c r="GO41" s="2" t="str">
        <f>IF(ISBLANK(MINDS!GO$56),"",MINDS!GO$56)</f>
        <v/>
      </c>
      <c r="GP41" s="2" t="str">
        <f>IF(ISBLANK(MINDS!GP$56),"",MINDS!GP$56)</f>
        <v/>
      </c>
      <c r="GQ41" s="2" t="str">
        <f>IF(ISBLANK(MINDS!GQ$56),"",MINDS!GQ$56)</f>
        <v/>
      </c>
      <c r="GR41" s="2" t="str">
        <f>IF(ISBLANK(MINDS!GR$56),"",MINDS!GR$56)</f>
        <v/>
      </c>
      <c r="GS41" s="2" t="str">
        <f>IF(ISBLANK(MINDS!GS$56),"",MINDS!GS$56)</f>
        <v/>
      </c>
      <c r="GT41" s="2" t="str">
        <f>IF(ISBLANK(MINDS!GT$56),"",MINDS!GT$56)</f>
        <v/>
      </c>
      <c r="GU41" s="2" t="str">
        <f>IF(ISBLANK(MINDS!GU$56),"",MINDS!GU$56)</f>
        <v/>
      </c>
      <c r="GV41" s="2" t="str">
        <f>IF(ISBLANK(MINDS!GV$56),"",MINDS!GV$56)</f>
        <v/>
      </c>
      <c r="GW41" s="2" t="str">
        <f>IF(ISBLANK(MINDS!GW$56),"",MINDS!GW$56)</f>
        <v/>
      </c>
      <c r="GX41" s="2" t="str">
        <f>IF(ISBLANK(MINDS!GX$56),"",MINDS!GX$56)</f>
        <v/>
      </c>
      <c r="GY41" s="2" t="str">
        <f>IF(ISBLANK(MINDS!GY$56),"",MINDS!GY$56)</f>
        <v/>
      </c>
      <c r="GZ41" s="2" t="str">
        <f>IF(ISBLANK(MINDS!GZ$56),"",MINDS!GZ$56)</f>
        <v/>
      </c>
      <c r="HA41" s="2" t="str">
        <f>IF(ISBLANK(MINDS!HA$56),"",MINDS!HA$56)</f>
        <v/>
      </c>
      <c r="HB41" s="2" t="str">
        <f>IF(ISBLANK(MINDS!HB$56),"",MINDS!HB$56)</f>
        <v/>
      </c>
      <c r="HC41" s="2" t="str">
        <f>IF(ISBLANK(MINDS!HC$56),"",MINDS!HC$56)</f>
        <v/>
      </c>
      <c r="HD41" s="2" t="str">
        <f>IF(ISBLANK(MINDS!HD$56),"",MINDS!HD$56)</f>
        <v/>
      </c>
      <c r="HE41" s="2" t="str">
        <f>IF(ISBLANK(MINDS!HE$56),"",MINDS!HE$56)</f>
        <v/>
      </c>
      <c r="HF41" s="2" t="str">
        <f>IF(ISBLANK(MINDS!HF$56),"",MINDS!HF$56)</f>
        <v/>
      </c>
      <c r="HG41" s="2" t="str">
        <f>IF(ISBLANK(MINDS!HG$56),"",MINDS!HG$56)</f>
        <v/>
      </c>
      <c r="HH41" s="2" t="str">
        <f>IF(ISBLANK(MINDS!HH$56),"",MINDS!HH$56)</f>
        <v/>
      </c>
      <c r="HI41" s="2" t="str">
        <f>IF(ISBLANK(MINDS!HI$56),"",MINDS!HI$56)</f>
        <v/>
      </c>
      <c r="HJ41" s="2" t="str">
        <f>IF(ISBLANK(MINDS!HJ$56),"",MINDS!HJ$56)</f>
        <v/>
      </c>
      <c r="HK41" s="2" t="str">
        <f>IF(ISBLANK(MINDS!HK$56),"",MINDS!HK$56)</f>
        <v/>
      </c>
      <c r="HL41" s="2" t="str">
        <f>IF(ISBLANK(MINDS!HL$56),"",MINDS!HL$56)</f>
        <v/>
      </c>
      <c r="HM41" s="2" t="str">
        <f>IF(ISBLANK(MINDS!HM$56),"",MINDS!HM$56)</f>
        <v/>
      </c>
      <c r="HN41" s="2" t="str">
        <f>IF(ISBLANK(MINDS!HN$56),"",MINDS!HN$56)</f>
        <v/>
      </c>
      <c r="HO41" s="2" t="str">
        <f>IF(ISBLANK(MINDS!HO$56),"",MINDS!HO$56)</f>
        <v/>
      </c>
      <c r="HP41" s="2" t="str">
        <f>IF(ISBLANK(MINDS!HP$56),"",MINDS!HP$56)</f>
        <v/>
      </c>
      <c r="HQ41" s="2" t="str">
        <f>IF(ISBLANK(MINDS!HQ$56),"",MINDS!HQ$56)</f>
        <v/>
      </c>
      <c r="HR41" s="2" t="str">
        <f>IF(ISBLANK(MINDS!HR$56),"",MINDS!HR$56)</f>
        <v/>
      </c>
      <c r="HS41" s="2" t="str">
        <f>IF(ISBLANK(MINDS!HS$56),"",MINDS!HS$56)</f>
        <v/>
      </c>
      <c r="HT41" s="2" t="str">
        <f>IF(ISBLANK(MINDS!HT$56),"",MINDS!HT$56)</f>
        <v/>
      </c>
      <c r="HU41" s="2" t="str">
        <f>IF(ISBLANK(MINDS!HU$56),"",MINDS!HU$56)</f>
        <v/>
      </c>
      <c r="HV41" s="2" t="str">
        <f>IF(ISBLANK(MINDS!HV$56),"",MINDS!HV$56)</f>
        <v/>
      </c>
      <c r="HW41" s="2" t="str">
        <f>IF(ISBLANK(MINDS!HW$56),"",MINDS!HW$56)</f>
        <v/>
      </c>
      <c r="HX41" s="2" t="str">
        <f>IF(ISBLANK(MINDS!HX$56),"",MINDS!HX$56)</f>
        <v/>
      </c>
      <c r="HY41" s="2" t="str">
        <f>IF(ISBLANK(MINDS!HY$56),"",MINDS!HY$56)</f>
        <v/>
      </c>
      <c r="HZ41" s="2" t="str">
        <f>IF(ISBLANK(MINDS!HZ$56),"",MINDS!HZ$56)</f>
        <v/>
      </c>
      <c r="IA41" s="2" t="str">
        <f>IF(ISBLANK(MINDS!IA$56),"",MINDS!IA$56)</f>
        <v/>
      </c>
      <c r="IB41" s="2" t="str">
        <f>IF(ISBLANK(MINDS!IB$56),"",MINDS!IB$56)</f>
        <v/>
      </c>
      <c r="IC41" s="2" t="str">
        <f>IF(ISBLANK(MINDS!IC$56),"",MINDS!IC$56)</f>
        <v/>
      </c>
      <c r="ID41" s="2" t="str">
        <f>IF(ISBLANK(MINDS!ID$56),"",MINDS!ID$56)</f>
        <v/>
      </c>
      <c r="IE41" s="2" t="str">
        <f>IF(ISBLANK(MINDS!IE$56),"",MINDS!IE$56)</f>
        <v/>
      </c>
      <c r="IF41" s="2" t="str">
        <f>IF(ISBLANK(MINDS!IF$56),"",MINDS!IF$56)</f>
        <v/>
      </c>
      <c r="IG41" s="2" t="str">
        <f>IF(ISBLANK(MINDS!IG$56),"",MINDS!IG$56)</f>
        <v/>
      </c>
      <c r="IH41" s="2" t="str">
        <f>IF(ISBLANK(MINDS!IH$56),"",MINDS!IH$56)</f>
        <v/>
      </c>
      <c r="II41" s="2" t="str">
        <f>IF(ISBLANK(MINDS!II$56),"",MINDS!II$56)</f>
        <v/>
      </c>
      <c r="IJ41" s="2" t="str">
        <f>IF(ISBLANK(MINDS!IJ$56),"",MINDS!IJ$56)</f>
        <v/>
      </c>
      <c r="IK41" s="2" t="str">
        <f>IF(ISBLANK(MINDS!IK$56),"",MINDS!IK$56)</f>
        <v/>
      </c>
      <c r="IL41" s="2" t="str">
        <f>IF(ISBLANK(MINDS!IL$56),"",MINDS!IL$56)</f>
        <v/>
      </c>
      <c r="IM41" s="2" t="str">
        <f>IF(ISBLANK(MINDS!IM$56),"",MINDS!IM$56)</f>
        <v/>
      </c>
      <c r="IN41" s="2" t="str">
        <f>IF(ISBLANK(MINDS!IN$56),"",MINDS!IN$56)</f>
        <v/>
      </c>
      <c r="IO41" s="2" t="str">
        <f>IF(ISBLANK(MINDS!IO$56),"",MINDS!IO$56)</f>
        <v/>
      </c>
      <c r="IP41" s="2" t="str">
        <f>IF(ISBLANK(MINDS!IP$56),"",MINDS!IP$56)</f>
        <v/>
      </c>
      <c r="IQ41" s="2" t="str">
        <f>IF(ISBLANK(MINDS!IQ$56),"",MINDS!IQ$56)</f>
        <v/>
      </c>
      <c r="IR41" s="2" t="str">
        <f>IF(ISBLANK(MINDS!IR$56),"",MINDS!IR$56)</f>
        <v/>
      </c>
      <c r="IS41" s="2" t="str">
        <f>IF(ISBLANK(MINDS!IS$56),"",MINDS!IS$56)</f>
        <v/>
      </c>
      <c r="IT41" s="2" t="str">
        <f>IF(ISBLANK(MINDS!IT$56),"",MINDS!IT$56)</f>
        <v/>
      </c>
      <c r="IU41" s="2" t="str">
        <f>IF(ISBLANK(MINDS!IU$56),"",MINDS!IU$56)</f>
        <v/>
      </c>
      <c r="IV41" s="2" t="str">
        <f>IF(ISBLANK(MINDS!IV$56),"",MINDS!IV$56)</f>
        <v/>
      </c>
    </row>
    <row r="42" spans="1:256" x14ac:dyDescent="0.2">
      <c r="A42" s="3" t="s">
        <v>8</v>
      </c>
      <c r="C42" s="2" t="str">
        <f ca="1">IF(C$41="","",TEXTJOINARRAY("|",TRUE,FINDLINKS(DatasetLinks,MATCH("Dataset "&amp;MINDS!C$55,OFFSET(DatasetLinks,0,0,1),0), "Subject ", SubjectLookup, 2)))</f>
        <v/>
      </c>
      <c r="D42" s="2" t="str">
        <f ca="1">IF(D$41="","",TEXTJOINARRAY("|",TRUE,FINDLINKS(DatasetLinks,MATCH("Dataset "&amp;MINDS!D$55,OFFSET(DatasetLinks,0,0,1),0), "Subject ", SubjectLookup, 2)))</f>
        <v/>
      </c>
      <c r="E42" s="2" t="str">
        <f ca="1">IF(E$41="","",TEXTJOINARRAY("|",TRUE,FINDLINKS(DatasetLinks,MATCH("Dataset "&amp;MINDS!E$55,OFFSET(DatasetLinks,0,0,1),0), "Subject ", SubjectLookup, 2)))</f>
        <v/>
      </c>
      <c r="F42" s="2" t="str">
        <f ca="1">IF(F$41="","",TEXTJOINARRAY("|",TRUE,FINDLINKS(DatasetLinks,MATCH("Dataset "&amp;MINDS!F$55,OFFSET(DatasetLinks,0,0,1),0), "Subject ", SubjectLookup, 2)))</f>
        <v/>
      </c>
      <c r="G42" s="2" t="str">
        <f ca="1">IF(G$41="","",TEXTJOINARRAY("|",TRUE,FINDLINKS(DatasetLinks,MATCH("Dataset "&amp;MINDS!G$55,OFFSET(DatasetLinks,0,0,1),0), "Subject ", SubjectLookup, 2)))</f>
        <v/>
      </c>
      <c r="H42" s="2" t="str">
        <f ca="1">IF(H$41="","",TEXTJOINARRAY("|",TRUE,FINDLINKS(DatasetLinks,MATCH("Dataset "&amp;MINDS!H$55,OFFSET(DatasetLinks,0,0,1),0), "Subject ", SubjectLookup, 2)))</f>
        <v/>
      </c>
      <c r="I42" s="2" t="str">
        <f ca="1">IF(I$41="","",TEXTJOINARRAY("|",TRUE,FINDLINKS(DatasetLinks,MATCH("Dataset "&amp;MINDS!I$55,OFFSET(DatasetLinks,0,0,1),0), "Subject ", SubjectLookup, 2)))</f>
        <v/>
      </c>
      <c r="J42" s="2" t="str">
        <f ca="1">IF(J$41="","",TEXTJOINARRAY("|",TRUE,FINDLINKS(DatasetLinks,MATCH("Dataset "&amp;MINDS!J$55,OFFSET(DatasetLinks,0,0,1),0), "Subject ", SubjectLookup, 2)))</f>
        <v/>
      </c>
      <c r="K42" s="2" t="str">
        <f ca="1">IF(K$41="","",TEXTJOINARRAY("|",TRUE,FINDLINKS(DatasetLinks,MATCH("Dataset "&amp;MINDS!K$55,OFFSET(DatasetLinks,0,0,1),0), "Subject ", SubjectLookup, 2)))</f>
        <v/>
      </c>
      <c r="L42" s="2" t="str">
        <f ca="1">IF(L$41="","",TEXTJOINARRAY("|",TRUE,FINDLINKS(DatasetLinks,MATCH("Dataset "&amp;MINDS!L$55,OFFSET(DatasetLinks,0,0,1),0), "Subject ", SubjectLookup, 2)))</f>
        <v/>
      </c>
      <c r="M42" s="2" t="str">
        <f ca="1">IF(M$41="","",TEXTJOINARRAY("|",TRUE,FINDLINKS(DatasetLinks,MATCH("Dataset "&amp;MINDS!M$55,OFFSET(DatasetLinks,0,0,1),0), "Subject ", SubjectLookup, 2)))</f>
        <v/>
      </c>
      <c r="N42" s="2" t="str">
        <f ca="1">IF(N$41="","",TEXTJOINARRAY("|",TRUE,FINDLINKS(DatasetLinks,MATCH("Dataset "&amp;MINDS!N$55,OFFSET(DatasetLinks,0,0,1),0), "Subject ", SubjectLookup, 2)))</f>
        <v/>
      </c>
      <c r="O42" s="2" t="str">
        <f ca="1">IF(O$41="","",TEXTJOINARRAY("|",TRUE,FINDLINKS(DatasetLinks,MATCH("Dataset "&amp;MINDS!O$55,OFFSET(DatasetLinks,0,0,1),0), "Subject ", SubjectLookup, 2)))</f>
        <v/>
      </c>
      <c r="P42" s="2" t="str">
        <f ca="1">IF(P$41="","",TEXTJOINARRAY("|",TRUE,FINDLINKS(DatasetLinks,MATCH("Dataset "&amp;MINDS!P$55,OFFSET(DatasetLinks,0,0,1),0), "Subject ", SubjectLookup, 2)))</f>
        <v/>
      </c>
      <c r="Q42" s="2" t="str">
        <f ca="1">IF(Q$41="","",TEXTJOINARRAY("|",TRUE,FINDLINKS(DatasetLinks,MATCH("Dataset "&amp;MINDS!Q$55,OFFSET(DatasetLinks,0,0,1),0), "Subject ", SubjectLookup, 2)))</f>
        <v/>
      </c>
      <c r="R42" s="2" t="str">
        <f ca="1">IF(R$41="","",TEXTJOINARRAY("|",TRUE,FINDLINKS(DatasetLinks,MATCH("Dataset "&amp;MINDS!R$55,OFFSET(DatasetLinks,0,0,1),0), "Subject ", SubjectLookup, 2)))</f>
        <v/>
      </c>
      <c r="S42" s="2" t="str">
        <f ca="1">IF(S$41="","",TEXTJOINARRAY("|",TRUE,FINDLINKS(DatasetLinks,MATCH("Dataset "&amp;MINDS!S$55,OFFSET(DatasetLinks,0,0,1),0), "Subject ", SubjectLookup, 2)))</f>
        <v/>
      </c>
      <c r="T42" s="2" t="str">
        <f ca="1">IF(T$41="","",TEXTJOINARRAY("|",TRUE,FINDLINKS(DatasetLinks,MATCH("Dataset "&amp;MINDS!T$55,OFFSET(DatasetLinks,0,0,1),0), "Subject ", SubjectLookup, 2)))</f>
        <v/>
      </c>
      <c r="U42" s="2" t="str">
        <f ca="1">IF(U$41="","",TEXTJOINARRAY("|",TRUE,FINDLINKS(DatasetLinks,MATCH("Dataset "&amp;MINDS!U$55,OFFSET(DatasetLinks,0,0,1),0), "Subject ", SubjectLookup, 2)))</f>
        <v/>
      </c>
      <c r="V42" s="2" t="str">
        <f ca="1">IF(V$41="","",TEXTJOINARRAY("|",TRUE,FINDLINKS(DatasetLinks,MATCH("Dataset "&amp;MINDS!V$55,OFFSET(DatasetLinks,0,0,1),0), "Subject ", SubjectLookup, 2)))</f>
        <v/>
      </c>
      <c r="W42" s="2" t="str">
        <f ca="1">IF(W$41="","",TEXTJOINARRAY("|",TRUE,FINDLINKS(DatasetLinks,MATCH("Dataset "&amp;MINDS!W$55,OFFSET(DatasetLinks,0,0,1),0), "Subject ", SubjectLookup, 2)))</f>
        <v/>
      </c>
      <c r="X42" s="2" t="str">
        <f ca="1">IF(X$41="","",TEXTJOINARRAY("|",TRUE,FINDLINKS(DatasetLinks,MATCH("Dataset "&amp;MINDS!X$55,OFFSET(DatasetLinks,0,0,1),0), "Subject ", SubjectLookup, 2)))</f>
        <v/>
      </c>
      <c r="Y42" s="2" t="str">
        <f ca="1">IF(Y$41="","",TEXTJOINARRAY("|",TRUE,FINDLINKS(DatasetLinks,MATCH("Dataset "&amp;MINDS!Y$55,OFFSET(DatasetLinks,0,0,1),0), "Subject ", SubjectLookup, 2)))</f>
        <v/>
      </c>
      <c r="Z42" s="2" t="str">
        <f ca="1">IF(Z$41="","",TEXTJOINARRAY("|",TRUE,FINDLINKS(DatasetLinks,MATCH("Dataset "&amp;MINDS!Z$55,OFFSET(DatasetLinks,0,0,1),0), "Subject ", SubjectLookup, 2)))</f>
        <v/>
      </c>
      <c r="AA42" s="2" t="str">
        <f ca="1">IF(AA$41="","",TEXTJOINARRAY("|",TRUE,FINDLINKS(DatasetLinks,MATCH("Dataset "&amp;MINDS!AA$55,OFFSET(DatasetLinks,0,0,1),0), "Subject ", SubjectLookup, 2)))</f>
        <v/>
      </c>
      <c r="AB42" s="2" t="str">
        <f ca="1">IF(AB$41="","",TEXTJOINARRAY("|",TRUE,FINDLINKS(DatasetLinks,MATCH("Dataset "&amp;MINDS!AB$55,OFFSET(DatasetLinks,0,0,1),0), "Subject ", SubjectLookup, 2)))</f>
        <v/>
      </c>
      <c r="AC42" s="2" t="str">
        <f ca="1">IF(AC$41="","",TEXTJOINARRAY("|",TRUE,FINDLINKS(DatasetLinks,MATCH("Dataset "&amp;MINDS!AC$55,OFFSET(DatasetLinks,0,0,1),0), "Subject ", SubjectLookup, 2)))</f>
        <v/>
      </c>
      <c r="AD42" s="2" t="str">
        <f ca="1">IF(AD$41="","",TEXTJOINARRAY("|",TRUE,FINDLINKS(DatasetLinks,MATCH("Dataset "&amp;MINDS!AD$55,OFFSET(DatasetLinks,0,0,1),0), "Subject ", SubjectLookup, 2)))</f>
        <v/>
      </c>
      <c r="AE42" s="2" t="str">
        <f ca="1">IF(AE$41="","",TEXTJOINARRAY("|",TRUE,FINDLINKS(DatasetLinks,MATCH("Dataset "&amp;MINDS!AE$55,OFFSET(DatasetLinks,0,0,1),0), "Subject ", SubjectLookup, 2)))</f>
        <v/>
      </c>
      <c r="AF42" s="2" t="str">
        <f ca="1">IF(AF$41="","",TEXTJOINARRAY("|",TRUE,FINDLINKS(DatasetLinks,MATCH("Dataset "&amp;MINDS!AF$55,OFFSET(DatasetLinks,0,0,1),0), "Subject ", SubjectLookup, 2)))</f>
        <v/>
      </c>
      <c r="AG42" s="2" t="str">
        <f ca="1">IF(AG$41="","",TEXTJOINARRAY("|",TRUE,FINDLINKS(DatasetLinks,MATCH("Dataset "&amp;MINDS!AG$55,OFFSET(DatasetLinks,0,0,1),0), "Subject ", SubjectLookup, 2)))</f>
        <v/>
      </c>
      <c r="AH42" s="2" t="str">
        <f ca="1">IF(AH$41="","",TEXTJOINARRAY("|",TRUE,FINDLINKS(DatasetLinks,MATCH("Dataset "&amp;MINDS!AH$55,OFFSET(DatasetLinks,0,0,1),0), "Subject ", SubjectLookup, 2)))</f>
        <v/>
      </c>
      <c r="AI42" s="2" t="str">
        <f ca="1">IF(AI$41="","",TEXTJOINARRAY("|",TRUE,FINDLINKS(DatasetLinks,MATCH("Dataset "&amp;MINDS!AI$55,OFFSET(DatasetLinks,0,0,1),0), "Subject ", SubjectLookup, 2)))</f>
        <v/>
      </c>
      <c r="AJ42" s="2" t="str">
        <f ca="1">IF(AJ$41="","",TEXTJOINARRAY("|",TRUE,FINDLINKS(DatasetLinks,MATCH("Dataset "&amp;MINDS!AJ$55,OFFSET(DatasetLinks,0,0,1),0), "Subject ", SubjectLookup, 2)))</f>
        <v/>
      </c>
      <c r="AK42" s="2" t="str">
        <f ca="1">IF(AK$41="","",TEXTJOINARRAY("|",TRUE,FINDLINKS(DatasetLinks,MATCH("Dataset "&amp;MINDS!AK$55,OFFSET(DatasetLinks,0,0,1),0), "Subject ", SubjectLookup, 2)))</f>
        <v/>
      </c>
      <c r="AL42" s="2" t="str">
        <f ca="1">IF(AL$41="","",TEXTJOINARRAY("|",TRUE,FINDLINKS(DatasetLinks,MATCH("Dataset "&amp;MINDS!AL$55,OFFSET(DatasetLinks,0,0,1),0), "Subject ", SubjectLookup, 2)))</f>
        <v/>
      </c>
      <c r="AM42" s="2" t="str">
        <f ca="1">IF(AM$41="","",TEXTJOINARRAY("|",TRUE,FINDLINKS(DatasetLinks,MATCH("Dataset "&amp;MINDS!AM$55,OFFSET(DatasetLinks,0,0,1),0), "Subject ", SubjectLookup, 2)))</f>
        <v/>
      </c>
      <c r="AN42" s="2" t="str">
        <f ca="1">IF(AN$41="","",TEXTJOINARRAY("|",TRUE,FINDLINKS(DatasetLinks,MATCH("Dataset "&amp;MINDS!AN$55,OFFSET(DatasetLinks,0,0,1),0), "Subject ", SubjectLookup, 2)))</f>
        <v/>
      </c>
      <c r="AO42" s="2" t="str">
        <f ca="1">IF(AO$41="","",TEXTJOINARRAY("|",TRUE,FINDLINKS(DatasetLinks,MATCH("Dataset "&amp;MINDS!AO$55,OFFSET(DatasetLinks,0,0,1),0), "Subject ", SubjectLookup, 2)))</f>
        <v/>
      </c>
      <c r="AP42" s="2" t="str">
        <f ca="1">IF(AP$41="","",TEXTJOINARRAY("|",TRUE,FINDLINKS(DatasetLinks,MATCH("Dataset "&amp;MINDS!AP$55,OFFSET(DatasetLinks,0,0,1),0), "Subject ", SubjectLookup, 2)))</f>
        <v/>
      </c>
      <c r="AQ42" s="2" t="str">
        <f ca="1">IF(AQ$41="","",TEXTJOINARRAY("|",TRUE,FINDLINKS(DatasetLinks,MATCH("Dataset "&amp;MINDS!AQ$55,OFFSET(DatasetLinks,0,0,1),0), "Subject ", SubjectLookup, 2)))</f>
        <v/>
      </c>
      <c r="AR42" s="2" t="str">
        <f ca="1">IF(AR$41="","",TEXTJOINARRAY("|",TRUE,FINDLINKS(DatasetLinks,MATCH("Dataset "&amp;MINDS!AR$55,OFFSET(DatasetLinks,0,0,1),0), "Subject ", SubjectLookup, 2)))</f>
        <v/>
      </c>
      <c r="AS42" s="2" t="str">
        <f ca="1">IF(AS$41="","",TEXTJOINARRAY("|",TRUE,FINDLINKS(DatasetLinks,MATCH("Dataset "&amp;MINDS!AS$55,OFFSET(DatasetLinks,0,0,1),0), "Subject ", SubjectLookup, 2)))</f>
        <v/>
      </c>
      <c r="AT42" s="2" t="str">
        <f ca="1">IF(AT$41="","",TEXTJOINARRAY("|",TRUE,FINDLINKS(DatasetLinks,MATCH("Dataset "&amp;MINDS!AT$55,OFFSET(DatasetLinks,0,0,1),0), "Subject ", SubjectLookup, 2)))</f>
        <v/>
      </c>
      <c r="AU42" s="2" t="str">
        <f ca="1">IF(AU$41="","",TEXTJOINARRAY("|",TRUE,FINDLINKS(DatasetLinks,MATCH("Dataset "&amp;MINDS!AU$55,OFFSET(DatasetLinks,0,0,1),0), "Subject ", SubjectLookup, 2)))</f>
        <v/>
      </c>
      <c r="AV42" s="2" t="str">
        <f ca="1">IF(AV$41="","",TEXTJOINARRAY("|",TRUE,FINDLINKS(DatasetLinks,MATCH("Dataset "&amp;MINDS!AV$55,OFFSET(DatasetLinks,0,0,1),0), "Subject ", SubjectLookup, 2)))</f>
        <v/>
      </c>
      <c r="AW42" s="2" t="str">
        <f ca="1">IF(AW$41="","",TEXTJOINARRAY("|",TRUE,FINDLINKS(DatasetLinks,MATCH("Dataset "&amp;MINDS!AW$55,OFFSET(DatasetLinks,0,0,1),0), "Subject ", SubjectLookup, 2)))</f>
        <v/>
      </c>
      <c r="AX42" s="2" t="str">
        <f ca="1">IF(AX$41="","",TEXTJOINARRAY("|",TRUE,FINDLINKS(DatasetLinks,MATCH("Dataset "&amp;MINDS!AX$55,OFFSET(DatasetLinks,0,0,1),0), "Subject ", SubjectLookup, 2)))</f>
        <v/>
      </c>
      <c r="AY42" s="2" t="str">
        <f ca="1">IF(AY$41="","",TEXTJOINARRAY("|",TRUE,FINDLINKS(DatasetLinks,MATCH("Dataset "&amp;MINDS!AY$55,OFFSET(DatasetLinks,0,0,1),0), "Subject ", SubjectLookup, 2)))</f>
        <v/>
      </c>
      <c r="AZ42" s="2" t="str">
        <f ca="1">IF(AZ$41="","",TEXTJOINARRAY("|",TRUE,FINDLINKS(DatasetLinks,MATCH("Dataset "&amp;MINDS!AZ$55,OFFSET(DatasetLinks,0,0,1),0), "Subject ", SubjectLookup, 2)))</f>
        <v/>
      </c>
      <c r="BA42" s="2" t="str">
        <f ca="1">IF(BA$41="","",TEXTJOINARRAY("|",TRUE,FINDLINKS(DatasetLinks,MATCH("Dataset "&amp;MINDS!BA$55,OFFSET(DatasetLinks,0,0,1),0), "Subject ", SubjectLookup, 2)))</f>
        <v/>
      </c>
      <c r="BB42" s="2" t="str">
        <f ca="1">IF(BB$41="","",TEXTJOINARRAY("|",TRUE,FINDLINKS(DatasetLinks,MATCH("Dataset "&amp;MINDS!BB$55,OFFSET(DatasetLinks,0,0,1),0), "Subject ", SubjectLookup, 2)))</f>
        <v/>
      </c>
      <c r="BC42" s="2" t="str">
        <f ca="1">IF(BC$41="","",TEXTJOINARRAY("|",TRUE,FINDLINKS(DatasetLinks,MATCH("Dataset "&amp;MINDS!BC$55,OFFSET(DatasetLinks,0,0,1),0), "Subject ", SubjectLookup, 2)))</f>
        <v/>
      </c>
      <c r="BD42" s="2" t="str">
        <f ca="1">IF(BD$41="","",TEXTJOINARRAY("|",TRUE,FINDLINKS(DatasetLinks,MATCH("Dataset "&amp;MINDS!BD$55,OFFSET(DatasetLinks,0,0,1),0), "Subject ", SubjectLookup, 2)))</f>
        <v/>
      </c>
      <c r="BE42" s="2" t="str">
        <f ca="1">IF(BE$41="","",TEXTJOINARRAY("|",TRUE,FINDLINKS(DatasetLinks,MATCH("Dataset "&amp;MINDS!BE$55,OFFSET(DatasetLinks,0,0,1),0), "Subject ", SubjectLookup, 2)))</f>
        <v/>
      </c>
      <c r="BF42" s="2" t="str">
        <f ca="1">IF(BF$41="","",TEXTJOINARRAY("|",TRUE,FINDLINKS(DatasetLinks,MATCH("Dataset "&amp;MINDS!BF$55,OFFSET(DatasetLinks,0,0,1),0), "Subject ", SubjectLookup, 2)))</f>
        <v/>
      </c>
      <c r="BG42" s="2" t="str">
        <f ca="1">IF(BG$41="","",TEXTJOINARRAY("|",TRUE,FINDLINKS(DatasetLinks,MATCH("Dataset "&amp;MINDS!BG$55,OFFSET(DatasetLinks,0,0,1),0), "Subject ", SubjectLookup, 2)))</f>
        <v/>
      </c>
      <c r="BH42" s="2" t="str">
        <f ca="1">IF(BH$41="","",TEXTJOINARRAY("|",TRUE,FINDLINKS(DatasetLinks,MATCH("Dataset "&amp;MINDS!BH$55,OFFSET(DatasetLinks,0,0,1),0), "Subject ", SubjectLookup, 2)))</f>
        <v/>
      </c>
      <c r="BI42" s="2" t="str">
        <f ca="1">IF(BI$41="","",TEXTJOINARRAY("|",TRUE,FINDLINKS(DatasetLinks,MATCH("Dataset "&amp;MINDS!BI$55,OFFSET(DatasetLinks,0,0,1),0), "Subject ", SubjectLookup, 2)))</f>
        <v/>
      </c>
      <c r="BJ42" s="2" t="str">
        <f ca="1">IF(BJ$41="","",TEXTJOINARRAY("|",TRUE,FINDLINKS(DatasetLinks,MATCH("Dataset "&amp;MINDS!BJ$55,OFFSET(DatasetLinks,0,0,1),0), "Subject ", SubjectLookup, 2)))</f>
        <v/>
      </c>
      <c r="BK42" s="2" t="str">
        <f ca="1">IF(BK$41="","",TEXTJOINARRAY("|",TRUE,FINDLINKS(DatasetLinks,MATCH("Dataset "&amp;MINDS!BK$55,OFFSET(DatasetLinks,0,0,1),0), "Subject ", SubjectLookup, 2)))</f>
        <v/>
      </c>
      <c r="BL42" s="2" t="str">
        <f ca="1">IF(BL$41="","",TEXTJOINARRAY("|",TRUE,FINDLINKS(DatasetLinks,MATCH("Dataset "&amp;MINDS!BL$55,OFFSET(DatasetLinks,0,0,1),0), "Subject ", SubjectLookup, 2)))</f>
        <v/>
      </c>
      <c r="BM42" s="2" t="str">
        <f ca="1">IF(BM$41="","",TEXTJOINARRAY("|",TRUE,FINDLINKS(DatasetLinks,MATCH("Dataset "&amp;MINDS!BM$55,OFFSET(DatasetLinks,0,0,1),0), "Subject ", SubjectLookup, 2)))</f>
        <v/>
      </c>
      <c r="BN42" s="2" t="str">
        <f ca="1">IF(BN$41="","",TEXTJOINARRAY("|",TRUE,FINDLINKS(DatasetLinks,MATCH("Dataset "&amp;MINDS!BN$55,OFFSET(DatasetLinks,0,0,1),0), "Subject ", SubjectLookup, 2)))</f>
        <v/>
      </c>
      <c r="BO42" s="2" t="str">
        <f ca="1">IF(BO$41="","",TEXTJOINARRAY("|",TRUE,FINDLINKS(DatasetLinks,MATCH("Dataset "&amp;MINDS!BO$55,OFFSET(DatasetLinks,0,0,1),0), "Subject ", SubjectLookup, 2)))</f>
        <v/>
      </c>
      <c r="BP42" s="2" t="str">
        <f ca="1">IF(BP$41="","",TEXTJOINARRAY("|",TRUE,FINDLINKS(DatasetLinks,MATCH("Dataset "&amp;MINDS!BP$55,OFFSET(DatasetLinks,0,0,1),0), "Subject ", SubjectLookup, 2)))</f>
        <v/>
      </c>
      <c r="BQ42" s="2" t="str">
        <f ca="1">IF(BQ$41="","",TEXTJOINARRAY("|",TRUE,FINDLINKS(DatasetLinks,MATCH("Dataset "&amp;MINDS!BQ$55,OFFSET(DatasetLinks,0,0,1),0), "Subject ", SubjectLookup, 2)))</f>
        <v/>
      </c>
      <c r="BR42" s="2" t="str">
        <f ca="1">IF(BR$41="","",TEXTJOINARRAY("|",TRUE,FINDLINKS(DatasetLinks,MATCH("Dataset "&amp;MINDS!BR$55,OFFSET(DatasetLinks,0,0,1),0), "Subject ", SubjectLookup, 2)))</f>
        <v/>
      </c>
      <c r="BS42" s="2" t="str">
        <f ca="1">IF(BS$41="","",TEXTJOINARRAY("|",TRUE,FINDLINKS(DatasetLinks,MATCH("Dataset "&amp;MINDS!BS$55,OFFSET(DatasetLinks,0,0,1),0), "Subject ", SubjectLookup, 2)))</f>
        <v/>
      </c>
      <c r="BT42" s="2" t="str">
        <f ca="1">IF(BT$41="","",TEXTJOINARRAY("|",TRUE,FINDLINKS(DatasetLinks,MATCH("Dataset "&amp;MINDS!BT$55,OFFSET(DatasetLinks,0,0,1),0), "Subject ", SubjectLookup, 2)))</f>
        <v/>
      </c>
      <c r="BU42" s="2" t="str">
        <f ca="1">IF(BU$41="","",TEXTJOINARRAY("|",TRUE,FINDLINKS(DatasetLinks,MATCH("Dataset "&amp;MINDS!BU$55,OFFSET(DatasetLinks,0,0,1),0), "Subject ", SubjectLookup, 2)))</f>
        <v/>
      </c>
      <c r="BV42" s="2" t="str">
        <f ca="1">IF(BV$41="","",TEXTJOINARRAY("|",TRUE,FINDLINKS(DatasetLinks,MATCH("Dataset "&amp;MINDS!BV$55,OFFSET(DatasetLinks,0,0,1),0), "Subject ", SubjectLookup, 2)))</f>
        <v/>
      </c>
      <c r="BW42" s="2" t="str">
        <f ca="1">IF(BW$41="","",TEXTJOINARRAY("|",TRUE,FINDLINKS(DatasetLinks,MATCH("Dataset "&amp;MINDS!BW$55,OFFSET(DatasetLinks,0,0,1),0), "Subject ", SubjectLookup, 2)))</f>
        <v/>
      </c>
      <c r="BX42" s="2" t="str">
        <f ca="1">IF(BX$41="","",TEXTJOINARRAY("|",TRUE,FINDLINKS(DatasetLinks,MATCH("Dataset "&amp;MINDS!BX$55,OFFSET(DatasetLinks,0,0,1),0), "Subject ", SubjectLookup, 2)))</f>
        <v/>
      </c>
      <c r="BY42" s="2" t="str">
        <f ca="1">IF(BY$41="","",TEXTJOINARRAY("|",TRUE,FINDLINKS(DatasetLinks,MATCH("Dataset "&amp;MINDS!BY$55,OFFSET(DatasetLinks,0,0,1),0), "Subject ", SubjectLookup, 2)))</f>
        <v/>
      </c>
      <c r="BZ42" s="2" t="str">
        <f ca="1">IF(BZ$41="","",TEXTJOINARRAY("|",TRUE,FINDLINKS(DatasetLinks,MATCH("Dataset "&amp;MINDS!BZ$55,OFFSET(DatasetLinks,0,0,1),0), "Subject ", SubjectLookup, 2)))</f>
        <v/>
      </c>
      <c r="CA42" s="2" t="str">
        <f ca="1">IF(CA$41="","",TEXTJOINARRAY("|",TRUE,FINDLINKS(DatasetLinks,MATCH("Dataset "&amp;MINDS!CA$55,OFFSET(DatasetLinks,0,0,1),0), "Subject ", SubjectLookup, 2)))</f>
        <v/>
      </c>
      <c r="CB42" s="2" t="str">
        <f ca="1">IF(CB$41="","",TEXTJOINARRAY("|",TRUE,FINDLINKS(DatasetLinks,MATCH("Dataset "&amp;MINDS!CB$55,OFFSET(DatasetLinks,0,0,1),0), "Subject ", SubjectLookup, 2)))</f>
        <v/>
      </c>
      <c r="CC42" s="2" t="str">
        <f ca="1">IF(CC$41="","",TEXTJOINARRAY("|",TRUE,FINDLINKS(DatasetLinks,MATCH("Dataset "&amp;MINDS!CC$55,OFFSET(DatasetLinks,0,0,1),0), "Subject ", SubjectLookup, 2)))</f>
        <v/>
      </c>
      <c r="CD42" s="2" t="str">
        <f ca="1">IF(CD$41="","",TEXTJOINARRAY("|",TRUE,FINDLINKS(DatasetLinks,MATCH("Dataset "&amp;MINDS!CD$55,OFFSET(DatasetLinks,0,0,1),0), "Subject ", SubjectLookup, 2)))</f>
        <v/>
      </c>
      <c r="CE42" s="2" t="str">
        <f ca="1">IF(CE$41="","",TEXTJOINARRAY("|",TRUE,FINDLINKS(DatasetLinks,MATCH("Dataset "&amp;MINDS!CE$55,OFFSET(DatasetLinks,0,0,1),0), "Subject ", SubjectLookup, 2)))</f>
        <v/>
      </c>
      <c r="CF42" s="2" t="str">
        <f ca="1">IF(CF$41="","",TEXTJOINARRAY("|",TRUE,FINDLINKS(DatasetLinks,MATCH("Dataset "&amp;MINDS!CF$55,OFFSET(DatasetLinks,0,0,1),0), "Subject ", SubjectLookup, 2)))</f>
        <v/>
      </c>
      <c r="CG42" s="2" t="str">
        <f ca="1">IF(CG$41="","",TEXTJOINARRAY("|",TRUE,FINDLINKS(DatasetLinks,MATCH("Dataset "&amp;MINDS!CG$55,OFFSET(DatasetLinks,0,0,1),0), "Subject ", SubjectLookup, 2)))</f>
        <v/>
      </c>
      <c r="CH42" s="2" t="str">
        <f ca="1">IF(CH$41="","",TEXTJOINARRAY("|",TRUE,FINDLINKS(DatasetLinks,MATCH("Dataset "&amp;MINDS!CH$55,OFFSET(DatasetLinks,0,0,1),0), "Subject ", SubjectLookup, 2)))</f>
        <v/>
      </c>
      <c r="CI42" s="2" t="str">
        <f ca="1">IF(CI$41="","",TEXTJOINARRAY("|",TRUE,FINDLINKS(DatasetLinks,MATCH("Dataset "&amp;MINDS!CI$55,OFFSET(DatasetLinks,0,0,1),0), "Subject ", SubjectLookup, 2)))</f>
        <v/>
      </c>
      <c r="CJ42" s="2" t="str">
        <f ca="1">IF(CJ$41="","",TEXTJOINARRAY("|",TRUE,FINDLINKS(DatasetLinks,MATCH("Dataset "&amp;MINDS!CJ$55,OFFSET(DatasetLinks,0,0,1),0), "Subject ", SubjectLookup, 2)))</f>
        <v/>
      </c>
      <c r="CK42" s="2" t="str">
        <f ca="1">IF(CK$41="","",TEXTJOINARRAY("|",TRUE,FINDLINKS(DatasetLinks,MATCH("Dataset "&amp;MINDS!CK$55,OFFSET(DatasetLinks,0,0,1),0), "Subject ", SubjectLookup, 2)))</f>
        <v/>
      </c>
      <c r="CL42" s="2" t="str">
        <f ca="1">IF(CL$41="","",TEXTJOINARRAY("|",TRUE,FINDLINKS(DatasetLinks,MATCH("Dataset "&amp;MINDS!CL$55,OFFSET(DatasetLinks,0,0,1),0), "Subject ", SubjectLookup, 2)))</f>
        <v/>
      </c>
      <c r="CM42" s="2" t="str">
        <f ca="1">IF(CM$41="","",TEXTJOINARRAY("|",TRUE,FINDLINKS(DatasetLinks,MATCH("Dataset "&amp;MINDS!CM$55,OFFSET(DatasetLinks,0,0,1),0), "Subject ", SubjectLookup, 2)))</f>
        <v/>
      </c>
      <c r="CN42" s="2" t="str">
        <f ca="1">IF(CN$41="","",TEXTJOINARRAY("|",TRUE,FINDLINKS(DatasetLinks,MATCH("Dataset "&amp;MINDS!CN$55,OFFSET(DatasetLinks,0,0,1),0), "Subject ", SubjectLookup, 2)))</f>
        <v/>
      </c>
      <c r="CO42" s="2" t="str">
        <f ca="1">IF(CO$41="","",TEXTJOINARRAY("|",TRUE,FINDLINKS(DatasetLinks,MATCH("Dataset "&amp;MINDS!CO$55,OFFSET(DatasetLinks,0,0,1),0), "Subject ", SubjectLookup, 2)))</f>
        <v/>
      </c>
      <c r="CP42" s="2" t="str">
        <f ca="1">IF(CP$41="","",TEXTJOINARRAY("|",TRUE,FINDLINKS(DatasetLinks,MATCH("Dataset "&amp;MINDS!CP$55,OFFSET(DatasetLinks,0,0,1),0), "Subject ", SubjectLookup, 2)))</f>
        <v/>
      </c>
      <c r="CQ42" s="2" t="str">
        <f ca="1">IF(CQ$41="","",TEXTJOINARRAY("|",TRUE,FINDLINKS(DatasetLinks,MATCH("Dataset "&amp;MINDS!CQ$55,OFFSET(DatasetLinks,0,0,1),0), "Subject ", SubjectLookup, 2)))</f>
        <v/>
      </c>
      <c r="CR42" s="2" t="str">
        <f ca="1">IF(CR$41="","",TEXTJOINARRAY("|",TRUE,FINDLINKS(DatasetLinks,MATCH("Dataset "&amp;MINDS!CR$55,OFFSET(DatasetLinks,0,0,1),0), "Subject ", SubjectLookup, 2)))</f>
        <v/>
      </c>
      <c r="CS42" s="2" t="str">
        <f ca="1">IF(CS$41="","",TEXTJOINARRAY("|",TRUE,FINDLINKS(DatasetLinks,MATCH("Dataset "&amp;MINDS!CS$55,OFFSET(DatasetLinks,0,0,1),0), "Subject ", SubjectLookup, 2)))</f>
        <v/>
      </c>
      <c r="CT42" s="2" t="str">
        <f ca="1">IF(CT$41="","",TEXTJOINARRAY("|",TRUE,FINDLINKS(DatasetLinks,MATCH("Dataset "&amp;MINDS!CT$55,OFFSET(DatasetLinks,0,0,1),0), "Subject ", SubjectLookup, 2)))</f>
        <v/>
      </c>
      <c r="CU42" s="2" t="str">
        <f ca="1">IF(CU$41="","",TEXTJOINARRAY("|",TRUE,FINDLINKS(DatasetLinks,MATCH("Dataset "&amp;MINDS!CU$55,OFFSET(DatasetLinks,0,0,1),0), "Subject ", SubjectLookup, 2)))</f>
        <v/>
      </c>
      <c r="CV42" s="2" t="str">
        <f ca="1">IF(CV$41="","",TEXTJOINARRAY("|",TRUE,FINDLINKS(DatasetLinks,MATCH("Dataset "&amp;MINDS!CV$55,OFFSET(DatasetLinks,0,0,1),0), "Subject ", SubjectLookup, 2)))</f>
        <v/>
      </c>
      <c r="CW42" s="2" t="str">
        <f ca="1">IF(CW$41="","",TEXTJOINARRAY("|",TRUE,FINDLINKS(DatasetLinks,MATCH("Dataset "&amp;MINDS!CW$55,OFFSET(DatasetLinks,0,0,1),0), "Subject ", SubjectLookup, 2)))</f>
        <v/>
      </c>
      <c r="CX42" s="2" t="str">
        <f ca="1">IF(CX$41="","",TEXTJOINARRAY("|",TRUE,FINDLINKS(DatasetLinks,MATCH("Dataset "&amp;MINDS!CX$55,OFFSET(DatasetLinks,0,0,1),0), "Subject ", SubjectLookup, 2)))</f>
        <v/>
      </c>
      <c r="CY42" s="2" t="str">
        <f ca="1">IF(CY$41="","",TEXTJOINARRAY("|",TRUE,FINDLINKS(DatasetLinks,MATCH("Dataset "&amp;MINDS!CY$55,OFFSET(DatasetLinks,0,0,1),0), "Subject ", SubjectLookup, 2)))</f>
        <v/>
      </c>
      <c r="CZ42" s="2" t="str">
        <f ca="1">IF(CZ$41="","",TEXTJOINARRAY("|",TRUE,FINDLINKS(DatasetLinks,MATCH("Dataset "&amp;MINDS!CZ$55,OFFSET(DatasetLinks,0,0,1),0), "Subject ", SubjectLookup, 2)))</f>
        <v/>
      </c>
      <c r="DA42" s="2" t="str">
        <f ca="1">IF(DA$41="","",TEXTJOINARRAY("|",TRUE,FINDLINKS(DatasetLinks,MATCH("Dataset "&amp;MINDS!DA$55,OFFSET(DatasetLinks,0,0,1),0), "Subject ", SubjectLookup, 2)))</f>
        <v/>
      </c>
      <c r="DB42" s="2" t="str">
        <f ca="1">IF(DB$41="","",TEXTJOINARRAY("|",TRUE,FINDLINKS(DatasetLinks,MATCH("Dataset "&amp;MINDS!DB$55,OFFSET(DatasetLinks,0,0,1),0), "Subject ", SubjectLookup, 2)))</f>
        <v/>
      </c>
      <c r="DC42" s="2" t="str">
        <f ca="1">IF(DC$41="","",TEXTJOINARRAY("|",TRUE,FINDLINKS(DatasetLinks,MATCH("Dataset "&amp;MINDS!DC$55,OFFSET(DatasetLinks,0,0,1),0), "Subject ", SubjectLookup, 2)))</f>
        <v/>
      </c>
      <c r="DD42" s="2" t="str">
        <f ca="1">IF(DD$41="","",TEXTJOINARRAY("|",TRUE,FINDLINKS(DatasetLinks,MATCH("Dataset "&amp;MINDS!DD$55,OFFSET(DatasetLinks,0,0,1),0), "Subject ", SubjectLookup, 2)))</f>
        <v/>
      </c>
      <c r="DE42" s="2" t="str">
        <f ca="1">IF(DE$41="","",TEXTJOINARRAY("|",TRUE,FINDLINKS(DatasetLinks,MATCH("Dataset "&amp;MINDS!DE$55,OFFSET(DatasetLinks,0,0,1),0), "Subject ", SubjectLookup, 2)))</f>
        <v/>
      </c>
      <c r="DF42" s="2" t="str">
        <f ca="1">IF(DF$41="","",TEXTJOINARRAY("|",TRUE,FINDLINKS(DatasetLinks,MATCH("Dataset "&amp;MINDS!DF$55,OFFSET(DatasetLinks,0,0,1),0), "Subject ", SubjectLookup, 2)))</f>
        <v/>
      </c>
      <c r="DG42" s="2" t="str">
        <f ca="1">IF(DG$41="","",TEXTJOINARRAY("|",TRUE,FINDLINKS(DatasetLinks,MATCH("Dataset "&amp;MINDS!DG$55,OFFSET(DatasetLinks,0,0,1),0), "Subject ", SubjectLookup, 2)))</f>
        <v/>
      </c>
      <c r="DH42" s="2" t="str">
        <f ca="1">IF(DH$41="","",TEXTJOINARRAY("|",TRUE,FINDLINKS(DatasetLinks,MATCH("Dataset "&amp;MINDS!DH$55,OFFSET(DatasetLinks,0,0,1),0), "Subject ", SubjectLookup, 2)))</f>
        <v/>
      </c>
      <c r="DI42" s="2" t="str">
        <f ca="1">IF(DI$41="","",TEXTJOINARRAY("|",TRUE,FINDLINKS(DatasetLinks,MATCH("Dataset "&amp;MINDS!DI$55,OFFSET(DatasetLinks,0,0,1),0), "Subject ", SubjectLookup, 2)))</f>
        <v/>
      </c>
      <c r="DJ42" s="2" t="str">
        <f ca="1">IF(DJ$41="","",TEXTJOINARRAY("|",TRUE,FINDLINKS(DatasetLinks,MATCH("Dataset "&amp;MINDS!DJ$55,OFFSET(DatasetLinks,0,0,1),0), "Subject ", SubjectLookup, 2)))</f>
        <v/>
      </c>
      <c r="DK42" s="2" t="str">
        <f ca="1">IF(DK$41="","",TEXTJOINARRAY("|",TRUE,FINDLINKS(DatasetLinks,MATCH("Dataset "&amp;MINDS!DK$55,OFFSET(DatasetLinks,0,0,1),0), "Subject ", SubjectLookup, 2)))</f>
        <v/>
      </c>
      <c r="DL42" s="2" t="str">
        <f ca="1">IF(DL$41="","",TEXTJOINARRAY("|",TRUE,FINDLINKS(DatasetLinks,MATCH("Dataset "&amp;MINDS!DL$55,OFFSET(DatasetLinks,0,0,1),0), "Subject ", SubjectLookup, 2)))</f>
        <v/>
      </c>
      <c r="DM42" s="2" t="str">
        <f ca="1">IF(DM$41="","",TEXTJOINARRAY("|",TRUE,FINDLINKS(DatasetLinks,MATCH("Dataset "&amp;MINDS!DM$55,OFFSET(DatasetLinks,0,0,1),0), "Subject ", SubjectLookup, 2)))</f>
        <v/>
      </c>
      <c r="DN42" s="2" t="str">
        <f ca="1">IF(DN$41="","",TEXTJOINARRAY("|",TRUE,FINDLINKS(DatasetLinks,MATCH("Dataset "&amp;MINDS!DN$55,OFFSET(DatasetLinks,0,0,1),0), "Subject ", SubjectLookup, 2)))</f>
        <v/>
      </c>
      <c r="DO42" s="2" t="str">
        <f ca="1">IF(DO$41="","",TEXTJOINARRAY("|",TRUE,FINDLINKS(DatasetLinks,MATCH("Dataset "&amp;MINDS!DO$55,OFFSET(DatasetLinks,0,0,1),0), "Subject ", SubjectLookup, 2)))</f>
        <v/>
      </c>
      <c r="DP42" s="2" t="str">
        <f ca="1">IF(DP$41="","",TEXTJOINARRAY("|",TRUE,FINDLINKS(DatasetLinks,MATCH("Dataset "&amp;MINDS!DP$55,OFFSET(DatasetLinks,0,0,1),0), "Subject ", SubjectLookup, 2)))</f>
        <v/>
      </c>
      <c r="DQ42" s="2" t="str">
        <f ca="1">IF(DQ$41="","",TEXTJOINARRAY("|",TRUE,FINDLINKS(DatasetLinks,MATCH("Dataset "&amp;MINDS!DQ$55,OFFSET(DatasetLinks,0,0,1),0), "Subject ", SubjectLookup, 2)))</f>
        <v/>
      </c>
      <c r="DR42" s="2" t="str">
        <f ca="1">IF(DR$41="","",TEXTJOINARRAY("|",TRUE,FINDLINKS(DatasetLinks,MATCH("Dataset "&amp;MINDS!DR$55,OFFSET(DatasetLinks,0,0,1),0), "Subject ", SubjectLookup, 2)))</f>
        <v/>
      </c>
      <c r="DS42" s="2" t="str">
        <f ca="1">IF(DS$41="","",TEXTJOINARRAY("|",TRUE,FINDLINKS(DatasetLinks,MATCH("Dataset "&amp;MINDS!DS$55,OFFSET(DatasetLinks,0,0,1),0), "Subject ", SubjectLookup, 2)))</f>
        <v/>
      </c>
      <c r="DT42" s="2" t="str">
        <f ca="1">IF(DT$41="","",TEXTJOINARRAY("|",TRUE,FINDLINKS(DatasetLinks,MATCH("Dataset "&amp;MINDS!DT$55,OFFSET(DatasetLinks,0,0,1),0), "Subject ", SubjectLookup, 2)))</f>
        <v/>
      </c>
      <c r="DU42" s="2" t="str">
        <f ca="1">IF(DU$41="","",TEXTJOINARRAY("|",TRUE,FINDLINKS(DatasetLinks,MATCH("Dataset "&amp;MINDS!DU$55,OFFSET(DatasetLinks,0,0,1),0), "Subject ", SubjectLookup, 2)))</f>
        <v/>
      </c>
      <c r="DV42" s="2" t="str">
        <f ca="1">IF(DV$41="","",TEXTJOINARRAY("|",TRUE,FINDLINKS(DatasetLinks,MATCH("Dataset "&amp;MINDS!DV$55,OFFSET(DatasetLinks,0,0,1),0), "Subject ", SubjectLookup, 2)))</f>
        <v/>
      </c>
      <c r="DW42" s="2" t="str">
        <f ca="1">IF(DW$41="","",TEXTJOINARRAY("|",TRUE,FINDLINKS(DatasetLinks,MATCH("Dataset "&amp;MINDS!DW$55,OFFSET(DatasetLinks,0,0,1),0), "Subject ", SubjectLookup, 2)))</f>
        <v/>
      </c>
      <c r="DX42" s="2" t="str">
        <f ca="1">IF(DX$41="","",TEXTJOINARRAY("|",TRUE,FINDLINKS(DatasetLinks,MATCH("Dataset "&amp;MINDS!DX$55,OFFSET(DatasetLinks,0,0,1),0), "Subject ", SubjectLookup, 2)))</f>
        <v/>
      </c>
      <c r="DY42" s="2" t="str">
        <f ca="1">IF(DY$41="","",TEXTJOINARRAY("|",TRUE,FINDLINKS(DatasetLinks,MATCH("Dataset "&amp;MINDS!DY$55,OFFSET(DatasetLinks,0,0,1),0), "Subject ", SubjectLookup, 2)))</f>
        <v/>
      </c>
      <c r="DZ42" s="2" t="str">
        <f ca="1">IF(DZ$41="","",TEXTJOINARRAY("|",TRUE,FINDLINKS(DatasetLinks,MATCH("Dataset "&amp;MINDS!DZ$55,OFFSET(DatasetLinks,0,0,1),0), "Subject ", SubjectLookup, 2)))</f>
        <v/>
      </c>
      <c r="EA42" s="2" t="str">
        <f ca="1">IF(EA$41="","",TEXTJOINARRAY("|",TRUE,FINDLINKS(DatasetLinks,MATCH("Dataset "&amp;MINDS!EA$55,OFFSET(DatasetLinks,0,0,1),0), "Subject ", SubjectLookup, 2)))</f>
        <v/>
      </c>
      <c r="EB42" s="2" t="str">
        <f ca="1">IF(EB$41="","",TEXTJOINARRAY("|",TRUE,FINDLINKS(DatasetLinks,MATCH("Dataset "&amp;MINDS!EB$55,OFFSET(DatasetLinks,0,0,1),0), "Subject ", SubjectLookup, 2)))</f>
        <v/>
      </c>
      <c r="EC42" s="2" t="str">
        <f ca="1">IF(EC$41="","",TEXTJOINARRAY("|",TRUE,FINDLINKS(DatasetLinks,MATCH("Dataset "&amp;MINDS!EC$55,OFFSET(DatasetLinks,0,0,1),0), "Subject ", SubjectLookup, 2)))</f>
        <v/>
      </c>
      <c r="ED42" s="2" t="str">
        <f ca="1">IF(ED$41="","",TEXTJOINARRAY("|",TRUE,FINDLINKS(DatasetLinks,MATCH("Dataset "&amp;MINDS!ED$55,OFFSET(DatasetLinks,0,0,1),0), "Subject ", SubjectLookup, 2)))</f>
        <v/>
      </c>
      <c r="EE42" s="2" t="str">
        <f ca="1">IF(EE$41="","",TEXTJOINARRAY("|",TRUE,FINDLINKS(DatasetLinks,MATCH("Dataset "&amp;MINDS!EE$55,OFFSET(DatasetLinks,0,0,1),0), "Subject ", SubjectLookup, 2)))</f>
        <v/>
      </c>
      <c r="EF42" s="2" t="str">
        <f ca="1">IF(EF$41="","",TEXTJOINARRAY("|",TRUE,FINDLINKS(DatasetLinks,MATCH("Dataset "&amp;MINDS!EF$55,OFFSET(DatasetLinks,0,0,1),0), "Subject ", SubjectLookup, 2)))</f>
        <v/>
      </c>
      <c r="EG42" s="2" t="str">
        <f ca="1">IF(EG$41="","",TEXTJOINARRAY("|",TRUE,FINDLINKS(DatasetLinks,MATCH("Dataset "&amp;MINDS!EG$55,OFFSET(DatasetLinks,0,0,1),0), "Subject ", SubjectLookup, 2)))</f>
        <v/>
      </c>
      <c r="EH42" s="2" t="str">
        <f ca="1">IF(EH$41="","",TEXTJOINARRAY("|",TRUE,FINDLINKS(DatasetLinks,MATCH("Dataset "&amp;MINDS!EH$55,OFFSET(DatasetLinks,0,0,1),0), "Subject ", SubjectLookup, 2)))</f>
        <v/>
      </c>
      <c r="EI42" s="2" t="str">
        <f ca="1">IF(EI$41="","",TEXTJOINARRAY("|",TRUE,FINDLINKS(DatasetLinks,MATCH("Dataset "&amp;MINDS!EI$55,OFFSET(DatasetLinks,0,0,1),0), "Subject ", SubjectLookup, 2)))</f>
        <v/>
      </c>
      <c r="EJ42" s="2" t="str">
        <f ca="1">IF(EJ$41="","",TEXTJOINARRAY("|",TRUE,FINDLINKS(DatasetLinks,MATCH("Dataset "&amp;MINDS!EJ$55,OFFSET(DatasetLinks,0,0,1),0), "Subject ", SubjectLookup, 2)))</f>
        <v/>
      </c>
      <c r="EK42" s="2" t="str">
        <f ca="1">IF(EK$41="","",TEXTJOINARRAY("|",TRUE,FINDLINKS(DatasetLinks,MATCH("Dataset "&amp;MINDS!EK$55,OFFSET(DatasetLinks,0,0,1),0), "Subject ", SubjectLookup, 2)))</f>
        <v/>
      </c>
      <c r="EL42" s="2" t="str">
        <f ca="1">IF(EL$41="","",TEXTJOINARRAY("|",TRUE,FINDLINKS(DatasetLinks,MATCH("Dataset "&amp;MINDS!EL$55,OFFSET(DatasetLinks,0,0,1),0), "Subject ", SubjectLookup, 2)))</f>
        <v/>
      </c>
      <c r="EM42" s="2" t="str">
        <f ca="1">IF(EM$41="","",TEXTJOINARRAY("|",TRUE,FINDLINKS(DatasetLinks,MATCH("Dataset "&amp;MINDS!EM$55,OFFSET(DatasetLinks,0,0,1),0), "Subject ", SubjectLookup, 2)))</f>
        <v/>
      </c>
      <c r="EN42" s="2" t="str">
        <f ca="1">IF(EN$41="","",TEXTJOINARRAY("|",TRUE,FINDLINKS(DatasetLinks,MATCH("Dataset "&amp;MINDS!EN$55,OFFSET(DatasetLinks,0,0,1),0), "Subject ", SubjectLookup, 2)))</f>
        <v/>
      </c>
      <c r="EO42" s="2" t="str">
        <f ca="1">IF(EO$41="","",TEXTJOINARRAY("|",TRUE,FINDLINKS(DatasetLinks,MATCH("Dataset "&amp;MINDS!EO$55,OFFSET(DatasetLinks,0,0,1),0), "Subject ", SubjectLookup, 2)))</f>
        <v/>
      </c>
      <c r="EP42" s="2" t="str">
        <f ca="1">IF(EP$41="","",TEXTJOINARRAY("|",TRUE,FINDLINKS(DatasetLinks,MATCH("Dataset "&amp;MINDS!EP$55,OFFSET(DatasetLinks,0,0,1),0), "Subject ", SubjectLookup, 2)))</f>
        <v/>
      </c>
      <c r="EQ42" s="2" t="str">
        <f ca="1">IF(EQ$41="","",TEXTJOINARRAY("|",TRUE,FINDLINKS(DatasetLinks,MATCH("Dataset "&amp;MINDS!EQ$55,OFFSET(DatasetLinks,0,0,1),0), "Subject ", SubjectLookup, 2)))</f>
        <v/>
      </c>
      <c r="ER42" s="2" t="str">
        <f ca="1">IF(ER$41="","",TEXTJOINARRAY("|",TRUE,FINDLINKS(DatasetLinks,MATCH("Dataset "&amp;MINDS!ER$55,OFFSET(DatasetLinks,0,0,1),0), "Subject ", SubjectLookup, 2)))</f>
        <v/>
      </c>
      <c r="ES42" s="2" t="str">
        <f ca="1">IF(ES$41="","",TEXTJOINARRAY("|",TRUE,FINDLINKS(DatasetLinks,MATCH("Dataset "&amp;MINDS!ES$55,OFFSET(DatasetLinks,0,0,1),0), "Subject ", SubjectLookup, 2)))</f>
        <v/>
      </c>
      <c r="ET42" s="2" t="str">
        <f ca="1">IF(ET$41="","",TEXTJOINARRAY("|",TRUE,FINDLINKS(DatasetLinks,MATCH("Dataset "&amp;MINDS!ET$55,OFFSET(DatasetLinks,0,0,1),0), "Subject ", SubjectLookup, 2)))</f>
        <v/>
      </c>
      <c r="EU42" s="2" t="str">
        <f ca="1">IF(EU$41="","",TEXTJOINARRAY("|",TRUE,FINDLINKS(DatasetLinks,MATCH("Dataset "&amp;MINDS!EU$55,OFFSET(DatasetLinks,0,0,1),0), "Subject ", SubjectLookup, 2)))</f>
        <v/>
      </c>
      <c r="EV42" s="2" t="str">
        <f ca="1">IF(EV$41="","",TEXTJOINARRAY("|",TRUE,FINDLINKS(DatasetLinks,MATCH("Dataset "&amp;MINDS!EV$55,OFFSET(DatasetLinks,0,0,1),0), "Subject ", SubjectLookup, 2)))</f>
        <v/>
      </c>
      <c r="EW42" s="2" t="str">
        <f ca="1">IF(EW$41="","",TEXTJOINARRAY("|",TRUE,FINDLINKS(DatasetLinks,MATCH("Dataset "&amp;MINDS!EW$55,OFFSET(DatasetLinks,0,0,1),0), "Subject ", SubjectLookup, 2)))</f>
        <v/>
      </c>
      <c r="EX42" s="2" t="str">
        <f ca="1">IF(EX$41="","",TEXTJOINARRAY("|",TRUE,FINDLINKS(DatasetLinks,MATCH("Dataset "&amp;MINDS!EX$55,OFFSET(DatasetLinks,0,0,1),0), "Subject ", SubjectLookup, 2)))</f>
        <v/>
      </c>
      <c r="EY42" s="2" t="str">
        <f ca="1">IF(EY$41="","",TEXTJOINARRAY("|",TRUE,FINDLINKS(DatasetLinks,MATCH("Dataset "&amp;MINDS!EY$55,OFFSET(DatasetLinks,0,0,1),0), "Subject ", SubjectLookup, 2)))</f>
        <v/>
      </c>
      <c r="EZ42" s="2" t="str">
        <f ca="1">IF(EZ$41="","",TEXTJOINARRAY("|",TRUE,FINDLINKS(DatasetLinks,MATCH("Dataset "&amp;MINDS!EZ$55,OFFSET(DatasetLinks,0,0,1),0), "Subject ", SubjectLookup, 2)))</f>
        <v/>
      </c>
      <c r="FA42" s="2" t="str">
        <f ca="1">IF(FA$41="","",TEXTJOINARRAY("|",TRUE,FINDLINKS(DatasetLinks,MATCH("Dataset "&amp;MINDS!FA$55,OFFSET(DatasetLinks,0,0,1),0), "Subject ", SubjectLookup, 2)))</f>
        <v/>
      </c>
      <c r="FB42" s="2" t="str">
        <f ca="1">IF(FB$41="","",TEXTJOINARRAY("|",TRUE,FINDLINKS(DatasetLinks,MATCH("Dataset "&amp;MINDS!FB$55,OFFSET(DatasetLinks,0,0,1),0), "Subject ", SubjectLookup, 2)))</f>
        <v/>
      </c>
      <c r="FC42" s="2" t="str">
        <f ca="1">IF(FC$41="","",TEXTJOINARRAY("|",TRUE,FINDLINKS(DatasetLinks,MATCH("Dataset "&amp;MINDS!FC$55,OFFSET(DatasetLinks,0,0,1),0), "Subject ", SubjectLookup, 2)))</f>
        <v/>
      </c>
      <c r="FD42" s="2" t="str">
        <f ca="1">IF(FD$41="","",TEXTJOINARRAY("|",TRUE,FINDLINKS(DatasetLinks,MATCH("Dataset "&amp;MINDS!FD$55,OFFSET(DatasetLinks,0,0,1),0), "Subject ", SubjectLookup, 2)))</f>
        <v/>
      </c>
      <c r="FE42" s="2" t="str">
        <f ca="1">IF(FE$41="","",TEXTJOINARRAY("|",TRUE,FINDLINKS(DatasetLinks,MATCH("Dataset "&amp;MINDS!FE$55,OFFSET(DatasetLinks,0,0,1),0), "Subject ", SubjectLookup, 2)))</f>
        <v/>
      </c>
      <c r="FF42" s="2" t="str">
        <f ca="1">IF(FF$41="","",TEXTJOINARRAY("|",TRUE,FINDLINKS(DatasetLinks,MATCH("Dataset "&amp;MINDS!FF$55,OFFSET(DatasetLinks,0,0,1),0), "Subject ", SubjectLookup, 2)))</f>
        <v/>
      </c>
      <c r="FG42" s="2" t="str">
        <f ca="1">IF(FG$41="","",TEXTJOINARRAY("|",TRUE,FINDLINKS(DatasetLinks,MATCH("Dataset "&amp;MINDS!FG$55,OFFSET(DatasetLinks,0,0,1),0), "Subject ", SubjectLookup, 2)))</f>
        <v/>
      </c>
      <c r="FH42" s="2" t="str">
        <f ca="1">IF(FH$41="","",TEXTJOINARRAY("|",TRUE,FINDLINKS(DatasetLinks,MATCH("Dataset "&amp;MINDS!FH$55,OFFSET(DatasetLinks,0,0,1),0), "Subject ", SubjectLookup, 2)))</f>
        <v/>
      </c>
      <c r="FI42" s="2" t="str">
        <f ca="1">IF(FI$41="","",TEXTJOINARRAY("|",TRUE,FINDLINKS(DatasetLinks,MATCH("Dataset "&amp;MINDS!FI$55,OFFSET(DatasetLinks,0,0,1),0), "Subject ", SubjectLookup, 2)))</f>
        <v/>
      </c>
      <c r="FJ42" s="2" t="str">
        <f ca="1">IF(FJ$41="","",TEXTJOINARRAY("|",TRUE,FINDLINKS(DatasetLinks,MATCH("Dataset "&amp;MINDS!FJ$55,OFFSET(DatasetLinks,0,0,1),0), "Subject ", SubjectLookup, 2)))</f>
        <v/>
      </c>
      <c r="FK42" s="2" t="str">
        <f ca="1">IF(FK$41="","",TEXTJOINARRAY("|",TRUE,FINDLINKS(DatasetLinks,MATCH("Dataset "&amp;MINDS!FK$55,OFFSET(DatasetLinks,0,0,1),0), "Subject ", SubjectLookup, 2)))</f>
        <v/>
      </c>
      <c r="FL42" s="2" t="str">
        <f ca="1">IF(FL$41="","",TEXTJOINARRAY("|",TRUE,FINDLINKS(DatasetLinks,MATCH("Dataset "&amp;MINDS!FL$55,OFFSET(DatasetLinks,0,0,1),0), "Subject ", SubjectLookup, 2)))</f>
        <v/>
      </c>
      <c r="FM42" s="2" t="str">
        <f ca="1">IF(FM$41="","",TEXTJOINARRAY("|",TRUE,FINDLINKS(DatasetLinks,MATCH("Dataset "&amp;MINDS!FM$55,OFFSET(DatasetLinks,0,0,1),0), "Subject ", SubjectLookup, 2)))</f>
        <v/>
      </c>
      <c r="FN42" s="2" t="str">
        <f ca="1">IF(FN$41="","",TEXTJOINARRAY("|",TRUE,FINDLINKS(DatasetLinks,MATCH("Dataset "&amp;MINDS!FN$55,OFFSET(DatasetLinks,0,0,1),0), "Subject ", SubjectLookup, 2)))</f>
        <v/>
      </c>
      <c r="FO42" s="2" t="str">
        <f ca="1">IF(FO$41="","",TEXTJOINARRAY("|",TRUE,FINDLINKS(DatasetLinks,MATCH("Dataset "&amp;MINDS!FO$55,OFFSET(DatasetLinks,0,0,1),0), "Subject ", SubjectLookup, 2)))</f>
        <v/>
      </c>
      <c r="FP42" s="2" t="str">
        <f ca="1">IF(FP$41="","",TEXTJOINARRAY("|",TRUE,FINDLINKS(DatasetLinks,MATCH("Dataset "&amp;MINDS!FP$55,OFFSET(DatasetLinks,0,0,1),0), "Subject ", SubjectLookup, 2)))</f>
        <v/>
      </c>
      <c r="FQ42" s="2" t="str">
        <f ca="1">IF(FQ$41="","",TEXTJOINARRAY("|",TRUE,FINDLINKS(DatasetLinks,MATCH("Dataset "&amp;MINDS!FQ$55,OFFSET(DatasetLinks,0,0,1),0), "Subject ", SubjectLookup, 2)))</f>
        <v/>
      </c>
      <c r="FR42" s="2" t="str">
        <f ca="1">IF(FR$41="","",TEXTJOINARRAY("|",TRUE,FINDLINKS(DatasetLinks,MATCH("Dataset "&amp;MINDS!FR$55,OFFSET(DatasetLinks,0,0,1),0), "Subject ", SubjectLookup, 2)))</f>
        <v/>
      </c>
      <c r="FS42" s="2" t="str">
        <f ca="1">IF(FS$41="","",TEXTJOINARRAY("|",TRUE,FINDLINKS(DatasetLinks,MATCH("Dataset "&amp;MINDS!FS$55,OFFSET(DatasetLinks,0,0,1),0), "Subject ", SubjectLookup, 2)))</f>
        <v/>
      </c>
      <c r="FT42" s="2" t="str">
        <f ca="1">IF(FT$41="","",TEXTJOINARRAY("|",TRUE,FINDLINKS(DatasetLinks,MATCH("Dataset "&amp;MINDS!FT$55,OFFSET(DatasetLinks,0,0,1),0), "Subject ", SubjectLookup, 2)))</f>
        <v/>
      </c>
      <c r="FU42" s="2" t="str">
        <f ca="1">IF(FU$41="","",TEXTJOINARRAY("|",TRUE,FINDLINKS(DatasetLinks,MATCH("Dataset "&amp;MINDS!FU$55,OFFSET(DatasetLinks,0,0,1),0), "Subject ", SubjectLookup, 2)))</f>
        <v/>
      </c>
      <c r="FV42" s="2" t="str">
        <f ca="1">IF(FV$41="","",TEXTJOINARRAY("|",TRUE,FINDLINKS(DatasetLinks,MATCH("Dataset "&amp;MINDS!FV$55,OFFSET(DatasetLinks,0,0,1),0), "Subject ", SubjectLookup, 2)))</f>
        <v/>
      </c>
      <c r="FW42" s="2" t="str">
        <f ca="1">IF(FW$41="","",TEXTJOINARRAY("|",TRUE,FINDLINKS(DatasetLinks,MATCH("Dataset "&amp;MINDS!FW$55,OFFSET(DatasetLinks,0,0,1),0), "Subject ", SubjectLookup, 2)))</f>
        <v/>
      </c>
      <c r="FX42" s="2" t="str">
        <f ca="1">IF(FX$41="","",TEXTJOINARRAY("|",TRUE,FINDLINKS(DatasetLinks,MATCH("Dataset "&amp;MINDS!FX$55,OFFSET(DatasetLinks,0,0,1),0), "Subject ", SubjectLookup, 2)))</f>
        <v/>
      </c>
      <c r="FY42" s="2" t="str">
        <f ca="1">IF(FY$41="","",TEXTJOINARRAY("|",TRUE,FINDLINKS(DatasetLinks,MATCH("Dataset "&amp;MINDS!FY$55,OFFSET(DatasetLinks,0,0,1),0), "Subject ", SubjectLookup, 2)))</f>
        <v/>
      </c>
      <c r="FZ42" s="2" t="str">
        <f ca="1">IF(FZ$41="","",TEXTJOINARRAY("|",TRUE,FINDLINKS(DatasetLinks,MATCH("Dataset "&amp;MINDS!FZ$55,OFFSET(DatasetLinks,0,0,1),0), "Subject ", SubjectLookup, 2)))</f>
        <v/>
      </c>
      <c r="GA42" s="2" t="str">
        <f ca="1">IF(GA$41="","",TEXTJOINARRAY("|",TRUE,FINDLINKS(DatasetLinks,MATCH("Dataset "&amp;MINDS!GA$55,OFFSET(DatasetLinks,0,0,1),0), "Subject ", SubjectLookup, 2)))</f>
        <v/>
      </c>
      <c r="GB42" s="2" t="str">
        <f ca="1">IF(GB$41="","",TEXTJOINARRAY("|",TRUE,FINDLINKS(DatasetLinks,MATCH("Dataset "&amp;MINDS!GB$55,OFFSET(DatasetLinks,0,0,1),0), "Subject ", SubjectLookup, 2)))</f>
        <v/>
      </c>
      <c r="GC42" s="2" t="str">
        <f ca="1">IF(GC$41="","",TEXTJOINARRAY("|",TRUE,FINDLINKS(DatasetLinks,MATCH("Dataset "&amp;MINDS!GC$55,OFFSET(DatasetLinks,0,0,1),0), "Subject ", SubjectLookup, 2)))</f>
        <v/>
      </c>
      <c r="GD42" s="2" t="str">
        <f ca="1">IF(GD$41="","",TEXTJOINARRAY("|",TRUE,FINDLINKS(DatasetLinks,MATCH("Dataset "&amp;MINDS!GD$55,OFFSET(DatasetLinks,0,0,1),0), "Subject ", SubjectLookup, 2)))</f>
        <v/>
      </c>
      <c r="GE42" s="2" t="str">
        <f ca="1">IF(GE$41="","",TEXTJOINARRAY("|",TRUE,FINDLINKS(DatasetLinks,MATCH("Dataset "&amp;MINDS!GE$55,OFFSET(DatasetLinks,0,0,1),0), "Subject ", SubjectLookup, 2)))</f>
        <v/>
      </c>
      <c r="GF42" s="2" t="str">
        <f ca="1">IF(GF$41="","",TEXTJOINARRAY("|",TRUE,FINDLINKS(DatasetLinks,MATCH("Dataset "&amp;MINDS!GF$55,OFFSET(DatasetLinks,0,0,1),0), "Subject ", SubjectLookup, 2)))</f>
        <v/>
      </c>
      <c r="GG42" s="2" t="str">
        <f ca="1">IF(GG$41="","",TEXTJOINARRAY("|",TRUE,FINDLINKS(DatasetLinks,MATCH("Dataset "&amp;MINDS!GG$55,OFFSET(DatasetLinks,0,0,1),0), "Subject ", SubjectLookup, 2)))</f>
        <v/>
      </c>
      <c r="GH42" s="2" t="str">
        <f ca="1">IF(GH$41="","",TEXTJOINARRAY("|",TRUE,FINDLINKS(DatasetLinks,MATCH("Dataset "&amp;MINDS!GH$55,OFFSET(DatasetLinks,0,0,1),0), "Subject ", SubjectLookup, 2)))</f>
        <v/>
      </c>
      <c r="GI42" s="2" t="str">
        <f ca="1">IF(GI$41="","",TEXTJOINARRAY("|",TRUE,FINDLINKS(DatasetLinks,MATCH("Dataset "&amp;MINDS!GI$55,OFFSET(DatasetLinks,0,0,1),0), "Subject ", SubjectLookup, 2)))</f>
        <v/>
      </c>
      <c r="GJ42" s="2" t="str">
        <f ca="1">IF(GJ$41="","",TEXTJOINARRAY("|",TRUE,FINDLINKS(DatasetLinks,MATCH("Dataset "&amp;MINDS!GJ$55,OFFSET(DatasetLinks,0,0,1),0), "Subject ", SubjectLookup, 2)))</f>
        <v/>
      </c>
      <c r="GK42" s="2" t="str">
        <f ca="1">IF(GK$41="","",TEXTJOINARRAY("|",TRUE,FINDLINKS(DatasetLinks,MATCH("Dataset "&amp;MINDS!GK$55,OFFSET(DatasetLinks,0,0,1),0), "Subject ", SubjectLookup, 2)))</f>
        <v/>
      </c>
      <c r="GL42" s="2" t="str">
        <f ca="1">IF(GL$41="","",TEXTJOINARRAY("|",TRUE,FINDLINKS(DatasetLinks,MATCH("Dataset "&amp;MINDS!GL$55,OFFSET(DatasetLinks,0,0,1),0), "Subject ", SubjectLookup, 2)))</f>
        <v/>
      </c>
      <c r="GM42" s="2" t="str">
        <f ca="1">IF(GM$41="","",TEXTJOINARRAY("|",TRUE,FINDLINKS(DatasetLinks,MATCH("Dataset "&amp;MINDS!GM$55,OFFSET(DatasetLinks,0,0,1),0), "Subject ", SubjectLookup, 2)))</f>
        <v/>
      </c>
      <c r="GN42" s="2" t="str">
        <f ca="1">IF(GN$41="","",TEXTJOINARRAY("|",TRUE,FINDLINKS(DatasetLinks,MATCH("Dataset "&amp;MINDS!GN$55,OFFSET(DatasetLinks,0,0,1),0), "Subject ", SubjectLookup, 2)))</f>
        <v/>
      </c>
      <c r="GO42" s="2" t="str">
        <f ca="1">IF(GO$41="","",TEXTJOINARRAY("|",TRUE,FINDLINKS(DatasetLinks,MATCH("Dataset "&amp;MINDS!GO$55,OFFSET(DatasetLinks,0,0,1),0), "Subject ", SubjectLookup, 2)))</f>
        <v/>
      </c>
      <c r="GP42" s="2" t="str">
        <f ca="1">IF(GP$41="","",TEXTJOINARRAY("|",TRUE,FINDLINKS(DatasetLinks,MATCH("Dataset "&amp;MINDS!GP$55,OFFSET(DatasetLinks,0,0,1),0), "Subject ", SubjectLookup, 2)))</f>
        <v/>
      </c>
      <c r="GQ42" s="2" t="str">
        <f ca="1">IF(GQ$41="","",TEXTJOINARRAY("|",TRUE,FINDLINKS(DatasetLinks,MATCH("Dataset "&amp;MINDS!GQ$55,OFFSET(DatasetLinks,0,0,1),0), "Subject ", SubjectLookup, 2)))</f>
        <v/>
      </c>
      <c r="GR42" s="2" t="str">
        <f ca="1">IF(GR$41="","",TEXTJOINARRAY("|",TRUE,FINDLINKS(DatasetLinks,MATCH("Dataset "&amp;MINDS!GR$55,OFFSET(DatasetLinks,0,0,1),0), "Subject ", SubjectLookup, 2)))</f>
        <v/>
      </c>
      <c r="GS42" s="2" t="str">
        <f ca="1">IF(GS$41="","",TEXTJOINARRAY("|",TRUE,FINDLINKS(DatasetLinks,MATCH("Dataset "&amp;MINDS!GS$55,OFFSET(DatasetLinks,0,0,1),0), "Subject ", SubjectLookup, 2)))</f>
        <v/>
      </c>
      <c r="GT42" s="2" t="str">
        <f ca="1">IF(GT$41="","",TEXTJOINARRAY("|",TRUE,FINDLINKS(DatasetLinks,MATCH("Dataset "&amp;MINDS!GT$55,OFFSET(DatasetLinks,0,0,1),0), "Subject ", SubjectLookup, 2)))</f>
        <v/>
      </c>
      <c r="GU42" s="2" t="str">
        <f ca="1">IF(GU$41="","",TEXTJOINARRAY("|",TRUE,FINDLINKS(DatasetLinks,MATCH("Dataset "&amp;MINDS!GU$55,OFFSET(DatasetLinks,0,0,1),0), "Subject ", SubjectLookup, 2)))</f>
        <v/>
      </c>
      <c r="GV42" s="2" t="str">
        <f ca="1">IF(GV$41="","",TEXTJOINARRAY("|",TRUE,FINDLINKS(DatasetLinks,MATCH("Dataset "&amp;MINDS!GV$55,OFFSET(DatasetLinks,0,0,1),0), "Subject ", SubjectLookup, 2)))</f>
        <v/>
      </c>
      <c r="GW42" s="2" t="str">
        <f ca="1">IF(GW$41="","",TEXTJOINARRAY("|",TRUE,FINDLINKS(DatasetLinks,MATCH("Dataset "&amp;MINDS!GW$55,OFFSET(DatasetLinks,0,0,1),0), "Subject ", SubjectLookup, 2)))</f>
        <v/>
      </c>
      <c r="GX42" s="2" t="str">
        <f ca="1">IF(GX$41="","",TEXTJOINARRAY("|",TRUE,FINDLINKS(DatasetLinks,MATCH("Dataset "&amp;MINDS!GX$55,OFFSET(DatasetLinks,0,0,1),0), "Subject ", SubjectLookup, 2)))</f>
        <v/>
      </c>
      <c r="GY42" s="2" t="str">
        <f ca="1">IF(GY$41="","",TEXTJOINARRAY("|",TRUE,FINDLINKS(DatasetLinks,MATCH("Dataset "&amp;MINDS!GY$55,OFFSET(DatasetLinks,0,0,1),0), "Subject ", SubjectLookup, 2)))</f>
        <v/>
      </c>
      <c r="GZ42" s="2" t="str">
        <f ca="1">IF(GZ$41="","",TEXTJOINARRAY("|",TRUE,FINDLINKS(DatasetLinks,MATCH("Dataset "&amp;MINDS!GZ$55,OFFSET(DatasetLinks,0,0,1),0), "Subject ", SubjectLookup, 2)))</f>
        <v/>
      </c>
      <c r="HA42" s="2" t="str">
        <f ca="1">IF(HA$41="","",TEXTJOINARRAY("|",TRUE,FINDLINKS(DatasetLinks,MATCH("Dataset "&amp;MINDS!HA$55,OFFSET(DatasetLinks,0,0,1),0), "Subject ", SubjectLookup, 2)))</f>
        <v/>
      </c>
      <c r="HB42" s="2" t="str">
        <f ca="1">IF(HB$41="","",TEXTJOINARRAY("|",TRUE,FINDLINKS(DatasetLinks,MATCH("Dataset "&amp;MINDS!HB$55,OFFSET(DatasetLinks,0,0,1),0), "Subject ", SubjectLookup, 2)))</f>
        <v/>
      </c>
      <c r="HC42" s="2" t="str">
        <f ca="1">IF(HC$41="","",TEXTJOINARRAY("|",TRUE,FINDLINKS(DatasetLinks,MATCH("Dataset "&amp;MINDS!HC$55,OFFSET(DatasetLinks,0,0,1),0), "Subject ", SubjectLookup, 2)))</f>
        <v/>
      </c>
      <c r="HD42" s="2" t="str">
        <f ca="1">IF(HD$41="","",TEXTJOINARRAY("|",TRUE,FINDLINKS(DatasetLinks,MATCH("Dataset "&amp;MINDS!HD$55,OFFSET(DatasetLinks,0,0,1),0), "Subject ", SubjectLookup, 2)))</f>
        <v/>
      </c>
      <c r="HE42" s="2" t="str">
        <f ca="1">IF(HE$41="","",TEXTJOINARRAY("|",TRUE,FINDLINKS(DatasetLinks,MATCH("Dataset "&amp;MINDS!HE$55,OFFSET(DatasetLinks,0,0,1),0), "Subject ", SubjectLookup, 2)))</f>
        <v/>
      </c>
      <c r="HF42" s="2" t="str">
        <f ca="1">IF(HF$41="","",TEXTJOINARRAY("|",TRUE,FINDLINKS(DatasetLinks,MATCH("Dataset "&amp;MINDS!HF$55,OFFSET(DatasetLinks,0,0,1),0), "Subject ", SubjectLookup, 2)))</f>
        <v/>
      </c>
      <c r="HG42" s="2" t="str">
        <f ca="1">IF(HG$41="","",TEXTJOINARRAY("|",TRUE,FINDLINKS(DatasetLinks,MATCH("Dataset "&amp;MINDS!HG$55,OFFSET(DatasetLinks,0,0,1),0), "Subject ", SubjectLookup, 2)))</f>
        <v/>
      </c>
      <c r="HH42" s="2" t="str">
        <f ca="1">IF(HH$41="","",TEXTJOINARRAY("|",TRUE,FINDLINKS(DatasetLinks,MATCH("Dataset "&amp;MINDS!HH$55,OFFSET(DatasetLinks,0,0,1),0), "Subject ", SubjectLookup, 2)))</f>
        <v/>
      </c>
      <c r="HI42" s="2" t="str">
        <f ca="1">IF(HI$41="","",TEXTJOINARRAY("|",TRUE,FINDLINKS(DatasetLinks,MATCH("Dataset "&amp;MINDS!HI$55,OFFSET(DatasetLinks,0,0,1),0), "Subject ", SubjectLookup, 2)))</f>
        <v/>
      </c>
      <c r="HJ42" s="2" t="str">
        <f ca="1">IF(HJ$41="","",TEXTJOINARRAY("|",TRUE,FINDLINKS(DatasetLinks,MATCH("Dataset "&amp;MINDS!HJ$55,OFFSET(DatasetLinks,0,0,1),0), "Subject ", SubjectLookup, 2)))</f>
        <v/>
      </c>
      <c r="HK42" s="2" t="str">
        <f ca="1">IF(HK$41="","",TEXTJOINARRAY("|",TRUE,FINDLINKS(DatasetLinks,MATCH("Dataset "&amp;MINDS!HK$55,OFFSET(DatasetLinks,0,0,1),0), "Subject ", SubjectLookup, 2)))</f>
        <v/>
      </c>
      <c r="HL42" s="2" t="str">
        <f ca="1">IF(HL$41="","",TEXTJOINARRAY("|",TRUE,FINDLINKS(DatasetLinks,MATCH("Dataset "&amp;MINDS!HL$55,OFFSET(DatasetLinks,0,0,1),0), "Subject ", SubjectLookup, 2)))</f>
        <v/>
      </c>
      <c r="HM42" s="2" t="str">
        <f ca="1">IF(HM$41="","",TEXTJOINARRAY("|",TRUE,FINDLINKS(DatasetLinks,MATCH("Dataset "&amp;MINDS!HM$55,OFFSET(DatasetLinks,0,0,1),0), "Subject ", SubjectLookup, 2)))</f>
        <v/>
      </c>
      <c r="HN42" s="2" t="str">
        <f ca="1">IF(HN$41="","",TEXTJOINARRAY("|",TRUE,FINDLINKS(DatasetLinks,MATCH("Dataset "&amp;MINDS!HN$55,OFFSET(DatasetLinks,0,0,1),0), "Subject ", SubjectLookup, 2)))</f>
        <v/>
      </c>
      <c r="HO42" s="2" t="str">
        <f ca="1">IF(HO$41="","",TEXTJOINARRAY("|",TRUE,FINDLINKS(DatasetLinks,MATCH("Dataset "&amp;MINDS!HO$55,OFFSET(DatasetLinks,0,0,1),0), "Subject ", SubjectLookup, 2)))</f>
        <v/>
      </c>
      <c r="HP42" s="2" t="str">
        <f ca="1">IF(HP$41="","",TEXTJOINARRAY("|",TRUE,FINDLINKS(DatasetLinks,MATCH("Dataset "&amp;MINDS!HP$55,OFFSET(DatasetLinks,0,0,1),0), "Subject ", SubjectLookup, 2)))</f>
        <v/>
      </c>
      <c r="HQ42" s="2" t="str">
        <f ca="1">IF(HQ$41="","",TEXTJOINARRAY("|",TRUE,FINDLINKS(DatasetLinks,MATCH("Dataset "&amp;MINDS!HQ$55,OFFSET(DatasetLinks,0,0,1),0), "Subject ", SubjectLookup, 2)))</f>
        <v/>
      </c>
      <c r="HR42" s="2" t="str">
        <f ca="1">IF(HR$41="","",TEXTJOINARRAY("|",TRUE,FINDLINKS(DatasetLinks,MATCH("Dataset "&amp;MINDS!HR$55,OFFSET(DatasetLinks,0,0,1),0), "Subject ", SubjectLookup, 2)))</f>
        <v/>
      </c>
      <c r="HS42" s="2" t="str">
        <f ca="1">IF(HS$41="","",TEXTJOINARRAY("|",TRUE,FINDLINKS(DatasetLinks,MATCH("Dataset "&amp;MINDS!HS$55,OFFSET(DatasetLinks,0,0,1),0), "Subject ", SubjectLookup, 2)))</f>
        <v/>
      </c>
      <c r="HT42" s="2" t="str">
        <f ca="1">IF(HT$41="","",TEXTJOINARRAY("|",TRUE,FINDLINKS(DatasetLinks,MATCH("Dataset "&amp;MINDS!HT$55,OFFSET(DatasetLinks,0,0,1),0), "Subject ", SubjectLookup, 2)))</f>
        <v/>
      </c>
      <c r="HU42" s="2" t="str">
        <f ca="1">IF(HU$41="","",TEXTJOINARRAY("|",TRUE,FINDLINKS(DatasetLinks,MATCH("Dataset "&amp;MINDS!HU$55,OFFSET(DatasetLinks,0,0,1),0), "Subject ", SubjectLookup, 2)))</f>
        <v/>
      </c>
      <c r="HV42" s="2" t="str">
        <f ca="1">IF(HV$41="","",TEXTJOINARRAY("|",TRUE,FINDLINKS(DatasetLinks,MATCH("Dataset "&amp;MINDS!HV$55,OFFSET(DatasetLinks,0,0,1),0), "Subject ", SubjectLookup, 2)))</f>
        <v/>
      </c>
      <c r="HW42" s="2" t="str">
        <f ca="1">IF(HW$41="","",TEXTJOINARRAY("|",TRUE,FINDLINKS(DatasetLinks,MATCH("Dataset "&amp;MINDS!HW$55,OFFSET(DatasetLinks,0,0,1),0), "Subject ", SubjectLookup, 2)))</f>
        <v/>
      </c>
      <c r="HX42" s="2" t="str">
        <f ca="1">IF(HX$41="","",TEXTJOINARRAY("|",TRUE,FINDLINKS(DatasetLinks,MATCH("Dataset "&amp;MINDS!HX$55,OFFSET(DatasetLinks,0,0,1),0), "Subject ", SubjectLookup, 2)))</f>
        <v/>
      </c>
      <c r="HY42" s="2" t="str">
        <f ca="1">IF(HY$41="","",TEXTJOINARRAY("|",TRUE,FINDLINKS(DatasetLinks,MATCH("Dataset "&amp;MINDS!HY$55,OFFSET(DatasetLinks,0,0,1),0), "Subject ", SubjectLookup, 2)))</f>
        <v/>
      </c>
      <c r="HZ42" s="2" t="str">
        <f ca="1">IF(HZ$41="","",TEXTJOINARRAY("|",TRUE,FINDLINKS(DatasetLinks,MATCH("Dataset "&amp;MINDS!HZ$55,OFFSET(DatasetLinks,0,0,1),0), "Subject ", SubjectLookup, 2)))</f>
        <v/>
      </c>
      <c r="IA42" s="2" t="str">
        <f ca="1">IF(IA$41="","",TEXTJOINARRAY("|",TRUE,FINDLINKS(DatasetLinks,MATCH("Dataset "&amp;MINDS!IA$55,OFFSET(DatasetLinks,0,0,1),0), "Subject ", SubjectLookup, 2)))</f>
        <v/>
      </c>
      <c r="IB42" s="2" t="str">
        <f ca="1">IF(IB$41="","",TEXTJOINARRAY("|",TRUE,FINDLINKS(DatasetLinks,MATCH("Dataset "&amp;MINDS!IB$55,OFFSET(DatasetLinks,0,0,1),0), "Subject ", SubjectLookup, 2)))</f>
        <v/>
      </c>
      <c r="IC42" s="2" t="str">
        <f ca="1">IF(IC$41="","",TEXTJOINARRAY("|",TRUE,FINDLINKS(DatasetLinks,MATCH("Dataset "&amp;MINDS!IC$55,OFFSET(DatasetLinks,0,0,1),0), "Subject ", SubjectLookup, 2)))</f>
        <v/>
      </c>
      <c r="ID42" s="2" t="str">
        <f ca="1">IF(ID$41="","",TEXTJOINARRAY("|",TRUE,FINDLINKS(DatasetLinks,MATCH("Dataset "&amp;MINDS!ID$55,OFFSET(DatasetLinks,0,0,1),0), "Subject ", SubjectLookup, 2)))</f>
        <v/>
      </c>
      <c r="IE42" s="2" t="str">
        <f ca="1">IF(IE$41="","",TEXTJOINARRAY("|",TRUE,FINDLINKS(DatasetLinks,MATCH("Dataset "&amp;MINDS!IE$55,OFFSET(DatasetLinks,0,0,1),0), "Subject ", SubjectLookup, 2)))</f>
        <v/>
      </c>
      <c r="IF42" s="2" t="str">
        <f ca="1">IF(IF$41="","",TEXTJOINARRAY("|",TRUE,FINDLINKS(DatasetLinks,MATCH("Dataset "&amp;MINDS!IF$55,OFFSET(DatasetLinks,0,0,1),0), "Subject ", SubjectLookup, 2)))</f>
        <v/>
      </c>
      <c r="IG42" s="2" t="str">
        <f ca="1">IF(IG$41="","",TEXTJOINARRAY("|",TRUE,FINDLINKS(DatasetLinks,MATCH("Dataset "&amp;MINDS!IG$55,OFFSET(DatasetLinks,0,0,1),0), "Subject ", SubjectLookup, 2)))</f>
        <v/>
      </c>
      <c r="IH42" s="2" t="str">
        <f ca="1">IF(IH$41="","",TEXTJOINARRAY("|",TRUE,FINDLINKS(DatasetLinks,MATCH("Dataset "&amp;MINDS!IH$55,OFFSET(DatasetLinks,0,0,1),0), "Subject ", SubjectLookup, 2)))</f>
        <v/>
      </c>
      <c r="II42" s="2" t="str">
        <f ca="1">IF(II$41="","",TEXTJOINARRAY("|",TRUE,FINDLINKS(DatasetLinks,MATCH("Dataset "&amp;MINDS!II$55,OFFSET(DatasetLinks,0,0,1),0), "Subject ", SubjectLookup, 2)))</f>
        <v/>
      </c>
      <c r="IJ42" s="2" t="str">
        <f ca="1">IF(IJ$41="","",TEXTJOINARRAY("|",TRUE,FINDLINKS(DatasetLinks,MATCH("Dataset "&amp;MINDS!IJ$55,OFFSET(DatasetLinks,0,0,1),0), "Subject ", SubjectLookup, 2)))</f>
        <v/>
      </c>
      <c r="IK42" s="2" t="str">
        <f ca="1">IF(IK$41="","",TEXTJOINARRAY("|",TRUE,FINDLINKS(DatasetLinks,MATCH("Dataset "&amp;MINDS!IK$55,OFFSET(DatasetLinks,0,0,1),0), "Subject ", SubjectLookup, 2)))</f>
        <v/>
      </c>
      <c r="IL42" s="2" t="str">
        <f ca="1">IF(IL$41="","",TEXTJOINARRAY("|",TRUE,FINDLINKS(DatasetLinks,MATCH("Dataset "&amp;MINDS!IL$55,OFFSET(DatasetLinks,0,0,1),0), "Subject ", SubjectLookup, 2)))</f>
        <v/>
      </c>
      <c r="IM42" s="2" t="str">
        <f ca="1">IF(IM$41="","",TEXTJOINARRAY("|",TRUE,FINDLINKS(DatasetLinks,MATCH("Dataset "&amp;MINDS!IM$55,OFFSET(DatasetLinks,0,0,1),0), "Subject ", SubjectLookup, 2)))</f>
        <v/>
      </c>
      <c r="IN42" s="2" t="str">
        <f ca="1">IF(IN$41="","",TEXTJOINARRAY("|",TRUE,FINDLINKS(DatasetLinks,MATCH("Dataset "&amp;MINDS!IN$55,OFFSET(DatasetLinks,0,0,1),0), "Subject ", SubjectLookup, 2)))</f>
        <v/>
      </c>
      <c r="IO42" s="2" t="str">
        <f ca="1">IF(IO$41="","",TEXTJOINARRAY("|",TRUE,FINDLINKS(DatasetLinks,MATCH("Dataset "&amp;MINDS!IO$55,OFFSET(DatasetLinks,0,0,1),0), "Subject ", SubjectLookup, 2)))</f>
        <v/>
      </c>
      <c r="IP42" s="2" t="str">
        <f ca="1">IF(IP$41="","",TEXTJOINARRAY("|",TRUE,FINDLINKS(DatasetLinks,MATCH("Dataset "&amp;MINDS!IP$55,OFFSET(DatasetLinks,0,0,1),0), "Subject ", SubjectLookup, 2)))</f>
        <v/>
      </c>
      <c r="IQ42" s="2" t="str">
        <f ca="1">IF(IQ$41="","",TEXTJOINARRAY("|",TRUE,FINDLINKS(DatasetLinks,MATCH("Dataset "&amp;MINDS!IQ$55,OFFSET(DatasetLinks,0,0,1),0), "Subject ", SubjectLookup, 2)))</f>
        <v/>
      </c>
      <c r="IR42" s="2" t="str">
        <f ca="1">IF(IR$41="","",TEXTJOINARRAY("|",TRUE,FINDLINKS(DatasetLinks,MATCH("Dataset "&amp;MINDS!IR$55,OFFSET(DatasetLinks,0,0,1),0), "Subject ", SubjectLookup, 2)))</f>
        <v/>
      </c>
      <c r="IS42" s="2" t="str">
        <f ca="1">IF(IS$41="","",TEXTJOINARRAY("|",TRUE,FINDLINKS(DatasetLinks,MATCH("Dataset "&amp;MINDS!IS$55,OFFSET(DatasetLinks,0,0,1),0), "Subject ", SubjectLookup, 2)))</f>
        <v/>
      </c>
      <c r="IT42" s="2" t="str">
        <f ca="1">IF(IT$41="","",TEXTJOINARRAY("|",TRUE,FINDLINKS(DatasetLinks,MATCH("Dataset "&amp;MINDS!IT$55,OFFSET(DatasetLinks,0,0,1),0), "Subject ", SubjectLookup, 2)))</f>
        <v/>
      </c>
      <c r="IU42" s="2" t="str">
        <f ca="1">IF(IU$41="","",TEXTJOINARRAY("|",TRUE,FINDLINKS(DatasetLinks,MATCH("Dataset "&amp;MINDS!IU$55,OFFSET(DatasetLinks,0,0,1),0), "Subject ", SubjectLookup, 2)))</f>
        <v/>
      </c>
      <c r="IV42" s="2" t="str">
        <f ca="1">IF(IV$41="","",TEXTJOINARRAY("|",TRUE,FINDLINKS(DatasetLinks,MATCH("Dataset "&amp;MINDS!IV$55,OFFSET(DatasetLinks,0,0,1),0), "Subject ", SubjectLookup, 2)))</f>
        <v/>
      </c>
    </row>
    <row r="43" spans="1:256" x14ac:dyDescent="0.2">
      <c r="A43" s="3" t="s">
        <v>0</v>
      </c>
      <c r="C43" s="2" t="str">
        <f ca="1">IF(C$41="","",SUBSTITUTE(TEXTJOINARRAY("|",TRUE,FINDLINKS(DatasetLinks,MATCH("Dataset "&amp;MINDS!C$55,OFFSET(DatasetLinks,0,0,1),0),"Experimental method ", ExperimentalMethodLookup, 1)),"#",MINDS!$C$19&amp;".A.e."&amp;"#")&amp;"|"&amp;SUBSTITUTE(TEXTJOINARRAY("|",TRUE,FINDLINKS(DatasetLinks,MATCH("Dataset "&amp;MINDS!C$55,OFFSET(DatasetLinks,0,0,1),0),"Analysis method ", AnalysisMethodLookup, 1)),"#",MINDS!$C$19&amp;".A.a."&amp;"#"))</f>
        <v/>
      </c>
      <c r="D43" s="2" t="str">
        <f ca="1">IF(D$41="","",SUBSTITUTE(TEXTJOINARRAY("|",TRUE,FINDLINKS(DatasetLinks,MATCH("Dataset "&amp;MINDS!D$55,OFFSET(DatasetLinks,0,0,1),0),"Experimental method ", ExperimentalMethodLookup, 1)),"#",MINDS!$C$19&amp;".A.e."&amp;"#")&amp;"|"&amp;SUBSTITUTE(TEXTJOINARRAY("|",TRUE,FINDLINKS(DatasetLinks,MATCH("Dataset "&amp;MINDS!D$55,OFFSET(DatasetLinks,0,0,1),0),"Analysis method ", AnalysisMethodLookup, 1)),"#",MINDS!$C$19&amp;".A.a."&amp;"#"))</f>
        <v/>
      </c>
      <c r="E43" s="2" t="str">
        <f ca="1">IF(E$41="","",SUBSTITUTE(TEXTJOINARRAY("|",TRUE,FINDLINKS(DatasetLinks,MATCH("Dataset "&amp;MINDS!E$55,OFFSET(DatasetLinks,0,0,1),0),"Experimental method ", ExperimentalMethodLookup, 1)),"#",MINDS!$C$19&amp;".A.e."&amp;"#")&amp;"|"&amp;SUBSTITUTE(TEXTJOINARRAY("|",TRUE,FINDLINKS(DatasetLinks,MATCH("Dataset "&amp;MINDS!E$55,OFFSET(DatasetLinks,0,0,1),0),"Analysis method ", AnalysisMethodLookup, 1)),"#",MINDS!$C$19&amp;".A.a."&amp;"#"))</f>
        <v/>
      </c>
      <c r="F43" s="2" t="str">
        <f ca="1">IF(F$41="","",SUBSTITUTE(TEXTJOINARRAY("|",TRUE,FINDLINKS(DatasetLinks,MATCH("Dataset "&amp;MINDS!F$55,OFFSET(DatasetLinks,0,0,1),0),"Experimental method ", ExperimentalMethodLookup, 1)),"#",MINDS!$C$19&amp;".A.e."&amp;"#")&amp;"|"&amp;SUBSTITUTE(TEXTJOINARRAY("|",TRUE,FINDLINKS(DatasetLinks,MATCH("Dataset "&amp;MINDS!F$55,OFFSET(DatasetLinks,0,0,1),0),"Analysis method ", AnalysisMethodLookup, 1)),"#",MINDS!$C$19&amp;".A.a."&amp;"#"))</f>
        <v/>
      </c>
      <c r="G43" s="2" t="str">
        <f ca="1">IF(G$41="","",SUBSTITUTE(TEXTJOINARRAY("|",TRUE,FINDLINKS(DatasetLinks,MATCH("Dataset "&amp;MINDS!G$55,OFFSET(DatasetLinks,0,0,1),0),"Experimental method ", ExperimentalMethodLookup, 1)),"#",MINDS!$C$19&amp;".A.e."&amp;"#")&amp;"|"&amp;SUBSTITUTE(TEXTJOINARRAY("|",TRUE,FINDLINKS(DatasetLinks,MATCH("Dataset "&amp;MINDS!G$55,OFFSET(DatasetLinks,0,0,1),0),"Analysis method ", AnalysisMethodLookup, 1)),"#",MINDS!$C$19&amp;".A.a."&amp;"#"))</f>
        <v/>
      </c>
      <c r="H43" s="2" t="str">
        <f ca="1">IF(H$41="","",SUBSTITUTE(TEXTJOINARRAY("|",TRUE,FINDLINKS(DatasetLinks,MATCH("Dataset "&amp;MINDS!H$55,OFFSET(DatasetLinks,0,0,1),0),"Experimental method ", ExperimentalMethodLookup, 1)),"#",MINDS!$C$19&amp;".A.e."&amp;"#")&amp;"|"&amp;SUBSTITUTE(TEXTJOINARRAY("|",TRUE,FINDLINKS(DatasetLinks,MATCH("Dataset "&amp;MINDS!H$55,OFFSET(DatasetLinks,0,0,1),0),"Analysis method ", AnalysisMethodLookup, 1)),"#",MINDS!$C$19&amp;".A.a."&amp;"#"))</f>
        <v/>
      </c>
      <c r="I43" s="2" t="str">
        <f ca="1">IF(I$41="","",SUBSTITUTE(TEXTJOINARRAY("|",TRUE,FINDLINKS(DatasetLinks,MATCH("Dataset "&amp;MINDS!I$55,OFFSET(DatasetLinks,0,0,1),0),"Experimental method ", ExperimentalMethodLookup, 1)),"#",MINDS!$C$19&amp;".A.e."&amp;"#")&amp;"|"&amp;SUBSTITUTE(TEXTJOINARRAY("|",TRUE,FINDLINKS(DatasetLinks,MATCH("Dataset "&amp;MINDS!I$55,OFFSET(DatasetLinks,0,0,1),0),"Analysis method ", AnalysisMethodLookup, 1)),"#",MINDS!$C$19&amp;".A.a."&amp;"#"))</f>
        <v/>
      </c>
      <c r="J43" s="2" t="str">
        <f ca="1">IF(J$41="","",SUBSTITUTE(TEXTJOINARRAY("|",TRUE,FINDLINKS(DatasetLinks,MATCH("Dataset "&amp;MINDS!J$55,OFFSET(DatasetLinks,0,0,1),0),"Experimental method ", ExperimentalMethodLookup, 1)),"#",MINDS!$C$19&amp;".A.e."&amp;"#")&amp;"|"&amp;SUBSTITUTE(TEXTJOINARRAY("|",TRUE,FINDLINKS(DatasetLinks,MATCH("Dataset "&amp;MINDS!J$55,OFFSET(DatasetLinks,0,0,1),0),"Analysis method ", AnalysisMethodLookup, 1)),"#",MINDS!$C$19&amp;".A.a."&amp;"#"))</f>
        <v/>
      </c>
      <c r="K43" s="2" t="str">
        <f ca="1">IF(K$41="","",SUBSTITUTE(TEXTJOINARRAY("|",TRUE,FINDLINKS(DatasetLinks,MATCH("Dataset "&amp;MINDS!K$55,OFFSET(DatasetLinks,0,0,1),0),"Experimental method ", ExperimentalMethodLookup, 1)),"#",MINDS!$C$19&amp;".A.e."&amp;"#")&amp;"|"&amp;SUBSTITUTE(TEXTJOINARRAY("|",TRUE,FINDLINKS(DatasetLinks,MATCH("Dataset "&amp;MINDS!K$55,OFFSET(DatasetLinks,0,0,1),0),"Analysis method ", AnalysisMethodLookup, 1)),"#",MINDS!$C$19&amp;".A.a."&amp;"#"))</f>
        <v/>
      </c>
      <c r="L43" s="2" t="str">
        <f ca="1">IF(L$41="","",SUBSTITUTE(TEXTJOINARRAY("|",TRUE,FINDLINKS(DatasetLinks,MATCH("Dataset "&amp;MINDS!L$55,OFFSET(DatasetLinks,0,0,1),0),"Experimental method ", ExperimentalMethodLookup, 1)),"#",MINDS!$C$19&amp;".A.e."&amp;"#")&amp;"|"&amp;SUBSTITUTE(TEXTJOINARRAY("|",TRUE,FINDLINKS(DatasetLinks,MATCH("Dataset "&amp;MINDS!L$55,OFFSET(DatasetLinks,0,0,1),0),"Analysis method ", AnalysisMethodLookup, 1)),"#",MINDS!$C$19&amp;".A.a."&amp;"#"))</f>
        <v/>
      </c>
      <c r="M43" s="2" t="str">
        <f ca="1">IF(M$41="","",SUBSTITUTE(TEXTJOINARRAY("|",TRUE,FINDLINKS(DatasetLinks,MATCH("Dataset "&amp;MINDS!M$55,OFFSET(DatasetLinks,0,0,1),0),"Experimental method ", ExperimentalMethodLookup, 1)),"#",MINDS!$C$19&amp;".A.e."&amp;"#")&amp;"|"&amp;SUBSTITUTE(TEXTJOINARRAY("|",TRUE,FINDLINKS(DatasetLinks,MATCH("Dataset "&amp;MINDS!M$55,OFFSET(DatasetLinks,0,0,1),0),"Analysis method ", AnalysisMethodLookup, 1)),"#",MINDS!$C$19&amp;".A.a."&amp;"#"))</f>
        <v/>
      </c>
      <c r="N43" s="2" t="str">
        <f ca="1">IF(N$41="","",SUBSTITUTE(TEXTJOINARRAY("|",TRUE,FINDLINKS(DatasetLinks,MATCH("Dataset "&amp;MINDS!N$55,OFFSET(DatasetLinks,0,0,1),0),"Experimental method ", ExperimentalMethodLookup, 1)),"#",MINDS!$C$19&amp;".A.e."&amp;"#")&amp;"|"&amp;SUBSTITUTE(TEXTJOINARRAY("|",TRUE,FINDLINKS(DatasetLinks,MATCH("Dataset "&amp;MINDS!N$55,OFFSET(DatasetLinks,0,0,1),0),"Analysis method ", AnalysisMethodLookup, 1)),"#",MINDS!$C$19&amp;".A.a."&amp;"#"))</f>
        <v/>
      </c>
      <c r="O43" s="2" t="str">
        <f ca="1">IF(O$41="","",SUBSTITUTE(TEXTJOINARRAY("|",TRUE,FINDLINKS(DatasetLinks,MATCH("Dataset "&amp;MINDS!O$55,OFFSET(DatasetLinks,0,0,1),0),"Experimental method ", ExperimentalMethodLookup, 1)),"#",MINDS!$C$19&amp;".A.e."&amp;"#")&amp;"|"&amp;SUBSTITUTE(TEXTJOINARRAY("|",TRUE,FINDLINKS(DatasetLinks,MATCH("Dataset "&amp;MINDS!O$55,OFFSET(DatasetLinks,0,0,1),0),"Analysis method ", AnalysisMethodLookup, 1)),"#",MINDS!$C$19&amp;".A.a."&amp;"#"))</f>
        <v/>
      </c>
      <c r="P43" s="2" t="str">
        <f ca="1">IF(P$41="","",SUBSTITUTE(TEXTJOINARRAY("|",TRUE,FINDLINKS(DatasetLinks,MATCH("Dataset "&amp;MINDS!P$55,OFFSET(DatasetLinks,0,0,1),0),"Experimental method ", ExperimentalMethodLookup, 1)),"#",MINDS!$C$19&amp;".A.e."&amp;"#")&amp;"|"&amp;SUBSTITUTE(TEXTJOINARRAY("|",TRUE,FINDLINKS(DatasetLinks,MATCH("Dataset "&amp;MINDS!P$55,OFFSET(DatasetLinks,0,0,1),0),"Analysis method ", AnalysisMethodLookup, 1)),"#",MINDS!$C$19&amp;".A.a."&amp;"#"))</f>
        <v/>
      </c>
      <c r="Q43" s="2" t="str">
        <f ca="1">IF(Q$41="","",SUBSTITUTE(TEXTJOINARRAY("|",TRUE,FINDLINKS(DatasetLinks,MATCH("Dataset "&amp;MINDS!Q$55,OFFSET(DatasetLinks,0,0,1),0),"Experimental method ", ExperimentalMethodLookup, 1)),"#",MINDS!$C$19&amp;".A.e."&amp;"#")&amp;"|"&amp;SUBSTITUTE(TEXTJOINARRAY("|",TRUE,FINDLINKS(DatasetLinks,MATCH("Dataset "&amp;MINDS!Q$55,OFFSET(DatasetLinks,0,0,1),0),"Analysis method ", AnalysisMethodLookup, 1)),"#",MINDS!$C$19&amp;".A.a."&amp;"#"))</f>
        <v/>
      </c>
      <c r="R43" s="2" t="str">
        <f ca="1">IF(R$41="","",SUBSTITUTE(TEXTJOINARRAY("|",TRUE,FINDLINKS(DatasetLinks,MATCH("Dataset "&amp;MINDS!R$55,OFFSET(DatasetLinks,0,0,1),0),"Experimental method ", ExperimentalMethodLookup, 1)),"#",MINDS!$C$19&amp;".A.e."&amp;"#")&amp;"|"&amp;SUBSTITUTE(TEXTJOINARRAY("|",TRUE,FINDLINKS(DatasetLinks,MATCH("Dataset "&amp;MINDS!R$55,OFFSET(DatasetLinks,0,0,1),0),"Analysis method ", AnalysisMethodLookup, 1)),"#",MINDS!$C$19&amp;".A.a."&amp;"#"))</f>
        <v/>
      </c>
      <c r="S43" s="2" t="str">
        <f ca="1">IF(S$41="","",SUBSTITUTE(TEXTJOINARRAY("|",TRUE,FINDLINKS(DatasetLinks,MATCH("Dataset "&amp;MINDS!S$55,OFFSET(DatasetLinks,0,0,1),0),"Experimental method ", ExperimentalMethodLookup, 1)),"#",MINDS!$C$19&amp;".A.e."&amp;"#")&amp;"|"&amp;SUBSTITUTE(TEXTJOINARRAY("|",TRUE,FINDLINKS(DatasetLinks,MATCH("Dataset "&amp;MINDS!S$55,OFFSET(DatasetLinks,0,0,1),0),"Analysis method ", AnalysisMethodLookup, 1)),"#",MINDS!$C$19&amp;".A.a."&amp;"#"))</f>
        <v/>
      </c>
      <c r="T43" s="2" t="str">
        <f ca="1">IF(T$41="","",SUBSTITUTE(TEXTJOINARRAY("|",TRUE,FINDLINKS(DatasetLinks,MATCH("Dataset "&amp;MINDS!T$55,OFFSET(DatasetLinks,0,0,1),0),"Experimental method ", ExperimentalMethodLookup, 1)),"#",MINDS!$C$19&amp;".A.e."&amp;"#")&amp;"|"&amp;SUBSTITUTE(TEXTJOINARRAY("|",TRUE,FINDLINKS(DatasetLinks,MATCH("Dataset "&amp;MINDS!T$55,OFFSET(DatasetLinks,0,0,1),0),"Analysis method ", AnalysisMethodLookup, 1)),"#",MINDS!$C$19&amp;".A.a."&amp;"#"))</f>
        <v/>
      </c>
      <c r="U43" s="2" t="str">
        <f ca="1">IF(U$41="","",SUBSTITUTE(TEXTJOINARRAY("|",TRUE,FINDLINKS(DatasetLinks,MATCH("Dataset "&amp;MINDS!U$55,OFFSET(DatasetLinks,0,0,1),0),"Experimental method ", ExperimentalMethodLookup, 1)),"#",MINDS!$C$19&amp;".A.e."&amp;"#")&amp;"|"&amp;SUBSTITUTE(TEXTJOINARRAY("|",TRUE,FINDLINKS(DatasetLinks,MATCH("Dataset "&amp;MINDS!U$55,OFFSET(DatasetLinks,0,0,1),0),"Analysis method ", AnalysisMethodLookup, 1)),"#",MINDS!$C$19&amp;".A.a."&amp;"#"))</f>
        <v/>
      </c>
      <c r="V43" s="2" t="str">
        <f ca="1">IF(V$41="","",SUBSTITUTE(TEXTJOINARRAY("|",TRUE,FINDLINKS(DatasetLinks,MATCH("Dataset "&amp;MINDS!V$55,OFFSET(DatasetLinks,0,0,1),0),"Experimental method ", ExperimentalMethodLookup, 1)),"#",MINDS!$C$19&amp;".A.e."&amp;"#")&amp;"|"&amp;SUBSTITUTE(TEXTJOINARRAY("|",TRUE,FINDLINKS(DatasetLinks,MATCH("Dataset "&amp;MINDS!V$55,OFFSET(DatasetLinks,0,0,1),0),"Analysis method ", AnalysisMethodLookup, 1)),"#",MINDS!$C$19&amp;".A.a."&amp;"#"))</f>
        <v/>
      </c>
      <c r="W43" s="2" t="str">
        <f ca="1">IF(W$41="","",SUBSTITUTE(TEXTJOINARRAY("|",TRUE,FINDLINKS(DatasetLinks,MATCH("Dataset "&amp;MINDS!W$55,OFFSET(DatasetLinks,0,0,1),0),"Experimental method ", ExperimentalMethodLookup, 1)),"#",MINDS!$C$19&amp;".A.e."&amp;"#")&amp;"|"&amp;SUBSTITUTE(TEXTJOINARRAY("|",TRUE,FINDLINKS(DatasetLinks,MATCH("Dataset "&amp;MINDS!W$55,OFFSET(DatasetLinks,0,0,1),0),"Analysis method ", AnalysisMethodLookup, 1)),"#",MINDS!$C$19&amp;".A.a."&amp;"#"))</f>
        <v/>
      </c>
      <c r="X43" s="2" t="str">
        <f ca="1">IF(X$41="","",SUBSTITUTE(TEXTJOINARRAY("|",TRUE,FINDLINKS(DatasetLinks,MATCH("Dataset "&amp;MINDS!X$55,OFFSET(DatasetLinks,0,0,1),0),"Experimental method ", ExperimentalMethodLookup, 1)),"#",MINDS!$C$19&amp;".A.e."&amp;"#")&amp;"|"&amp;SUBSTITUTE(TEXTJOINARRAY("|",TRUE,FINDLINKS(DatasetLinks,MATCH("Dataset "&amp;MINDS!X$55,OFFSET(DatasetLinks,0,0,1),0),"Analysis method ", AnalysisMethodLookup, 1)),"#",MINDS!$C$19&amp;".A.a."&amp;"#"))</f>
        <v/>
      </c>
      <c r="Y43" s="2" t="str">
        <f ca="1">IF(Y$41="","",SUBSTITUTE(TEXTJOINARRAY("|",TRUE,FINDLINKS(DatasetLinks,MATCH("Dataset "&amp;MINDS!Y$55,OFFSET(DatasetLinks,0,0,1),0),"Experimental method ", ExperimentalMethodLookup, 1)),"#",MINDS!$C$19&amp;".A.e."&amp;"#")&amp;"|"&amp;SUBSTITUTE(TEXTJOINARRAY("|",TRUE,FINDLINKS(DatasetLinks,MATCH("Dataset "&amp;MINDS!Y$55,OFFSET(DatasetLinks,0,0,1),0),"Analysis method ", AnalysisMethodLookup, 1)),"#",MINDS!$C$19&amp;".A.a."&amp;"#"))</f>
        <v/>
      </c>
      <c r="Z43" s="2" t="str">
        <f ca="1">IF(Z$41="","",SUBSTITUTE(TEXTJOINARRAY("|",TRUE,FINDLINKS(DatasetLinks,MATCH("Dataset "&amp;MINDS!Z$55,OFFSET(DatasetLinks,0,0,1),0),"Experimental method ", ExperimentalMethodLookup, 1)),"#",MINDS!$C$19&amp;".A.e."&amp;"#")&amp;"|"&amp;SUBSTITUTE(TEXTJOINARRAY("|",TRUE,FINDLINKS(DatasetLinks,MATCH("Dataset "&amp;MINDS!Z$55,OFFSET(DatasetLinks,0,0,1),0),"Analysis method ", AnalysisMethodLookup, 1)),"#",MINDS!$C$19&amp;".A.a."&amp;"#"))</f>
        <v/>
      </c>
      <c r="AA43" s="2" t="str">
        <f ca="1">IF(AA$41="","",SUBSTITUTE(TEXTJOINARRAY("|",TRUE,FINDLINKS(DatasetLinks,MATCH("Dataset "&amp;MINDS!AA$55,OFFSET(DatasetLinks,0,0,1),0),"Experimental method ", ExperimentalMethodLookup, 1)),"#",MINDS!$C$19&amp;".A.e."&amp;"#")&amp;"|"&amp;SUBSTITUTE(TEXTJOINARRAY("|",TRUE,FINDLINKS(DatasetLinks,MATCH("Dataset "&amp;MINDS!AA$55,OFFSET(DatasetLinks,0,0,1),0),"Analysis method ", AnalysisMethodLookup, 1)),"#",MINDS!$C$19&amp;".A.a."&amp;"#"))</f>
        <v/>
      </c>
      <c r="AB43" s="2" t="str">
        <f ca="1">IF(AB$41="","",SUBSTITUTE(TEXTJOINARRAY("|",TRUE,FINDLINKS(DatasetLinks,MATCH("Dataset "&amp;MINDS!AB$55,OFFSET(DatasetLinks,0,0,1),0),"Experimental method ", ExperimentalMethodLookup, 1)),"#",MINDS!$C$19&amp;".A.e."&amp;"#")&amp;"|"&amp;SUBSTITUTE(TEXTJOINARRAY("|",TRUE,FINDLINKS(DatasetLinks,MATCH("Dataset "&amp;MINDS!AB$55,OFFSET(DatasetLinks,0,0,1),0),"Analysis method ", AnalysisMethodLookup, 1)),"#",MINDS!$C$19&amp;".A.a."&amp;"#"))</f>
        <v/>
      </c>
      <c r="AC43" s="2" t="str">
        <f ca="1">IF(AC$41="","",SUBSTITUTE(TEXTJOINARRAY("|",TRUE,FINDLINKS(DatasetLinks,MATCH("Dataset "&amp;MINDS!AC$55,OFFSET(DatasetLinks,0,0,1),0),"Experimental method ", ExperimentalMethodLookup, 1)),"#",MINDS!$C$19&amp;".A.e."&amp;"#")&amp;"|"&amp;SUBSTITUTE(TEXTJOINARRAY("|",TRUE,FINDLINKS(DatasetLinks,MATCH("Dataset "&amp;MINDS!AC$55,OFFSET(DatasetLinks,0,0,1),0),"Analysis method ", AnalysisMethodLookup, 1)),"#",MINDS!$C$19&amp;".A.a."&amp;"#"))</f>
        <v/>
      </c>
      <c r="AD43" s="2" t="str">
        <f ca="1">IF(AD$41="","",SUBSTITUTE(TEXTJOINARRAY("|",TRUE,FINDLINKS(DatasetLinks,MATCH("Dataset "&amp;MINDS!AD$55,OFFSET(DatasetLinks,0,0,1),0),"Experimental method ", ExperimentalMethodLookup, 1)),"#",MINDS!$C$19&amp;".A.e."&amp;"#")&amp;"|"&amp;SUBSTITUTE(TEXTJOINARRAY("|",TRUE,FINDLINKS(DatasetLinks,MATCH("Dataset "&amp;MINDS!AD$55,OFFSET(DatasetLinks,0,0,1),0),"Analysis method ", AnalysisMethodLookup, 1)),"#",MINDS!$C$19&amp;".A.a."&amp;"#"))</f>
        <v/>
      </c>
      <c r="AE43" s="2" t="str">
        <f ca="1">IF(AE$41="","",SUBSTITUTE(TEXTJOINARRAY("|",TRUE,FINDLINKS(DatasetLinks,MATCH("Dataset "&amp;MINDS!AE$55,OFFSET(DatasetLinks,0,0,1),0),"Experimental method ", ExperimentalMethodLookup, 1)),"#",MINDS!$C$19&amp;".A.e."&amp;"#")&amp;"|"&amp;SUBSTITUTE(TEXTJOINARRAY("|",TRUE,FINDLINKS(DatasetLinks,MATCH("Dataset "&amp;MINDS!AE$55,OFFSET(DatasetLinks,0,0,1),0),"Analysis method ", AnalysisMethodLookup, 1)),"#",MINDS!$C$19&amp;".A.a."&amp;"#"))</f>
        <v/>
      </c>
      <c r="AF43" s="2" t="str">
        <f ca="1">IF(AF$41="","",SUBSTITUTE(TEXTJOINARRAY("|",TRUE,FINDLINKS(DatasetLinks,MATCH("Dataset "&amp;MINDS!AF$55,OFFSET(DatasetLinks,0,0,1),0),"Experimental method ", ExperimentalMethodLookup, 1)),"#",MINDS!$C$19&amp;".A.e."&amp;"#")&amp;"|"&amp;SUBSTITUTE(TEXTJOINARRAY("|",TRUE,FINDLINKS(DatasetLinks,MATCH("Dataset "&amp;MINDS!AF$55,OFFSET(DatasetLinks,0,0,1),0),"Analysis method ", AnalysisMethodLookup, 1)),"#",MINDS!$C$19&amp;".A.a."&amp;"#"))</f>
        <v/>
      </c>
      <c r="AG43" s="2" t="str">
        <f ca="1">IF(AG$41="","",SUBSTITUTE(TEXTJOINARRAY("|",TRUE,FINDLINKS(DatasetLinks,MATCH("Dataset "&amp;MINDS!AG$55,OFFSET(DatasetLinks,0,0,1),0),"Experimental method ", ExperimentalMethodLookup, 1)),"#",MINDS!$C$19&amp;".A.e."&amp;"#")&amp;"|"&amp;SUBSTITUTE(TEXTJOINARRAY("|",TRUE,FINDLINKS(DatasetLinks,MATCH("Dataset "&amp;MINDS!AG$55,OFFSET(DatasetLinks,0,0,1),0),"Analysis method ", AnalysisMethodLookup, 1)),"#",MINDS!$C$19&amp;".A.a."&amp;"#"))</f>
        <v/>
      </c>
      <c r="AH43" s="2" t="str">
        <f ca="1">IF(AH$41="","",SUBSTITUTE(TEXTJOINARRAY("|",TRUE,FINDLINKS(DatasetLinks,MATCH("Dataset "&amp;MINDS!AH$55,OFFSET(DatasetLinks,0,0,1),0),"Experimental method ", ExperimentalMethodLookup, 1)),"#",MINDS!$C$19&amp;".A.e."&amp;"#")&amp;"|"&amp;SUBSTITUTE(TEXTJOINARRAY("|",TRUE,FINDLINKS(DatasetLinks,MATCH("Dataset "&amp;MINDS!AH$55,OFFSET(DatasetLinks,0,0,1),0),"Analysis method ", AnalysisMethodLookup, 1)),"#",MINDS!$C$19&amp;".A.a."&amp;"#"))</f>
        <v/>
      </c>
      <c r="AI43" s="2" t="str">
        <f ca="1">IF(AI$41="","",SUBSTITUTE(TEXTJOINARRAY("|",TRUE,FINDLINKS(DatasetLinks,MATCH("Dataset "&amp;MINDS!AI$55,OFFSET(DatasetLinks,0,0,1),0),"Experimental method ", ExperimentalMethodLookup, 1)),"#",MINDS!$C$19&amp;".A.e."&amp;"#")&amp;"|"&amp;SUBSTITUTE(TEXTJOINARRAY("|",TRUE,FINDLINKS(DatasetLinks,MATCH("Dataset "&amp;MINDS!AI$55,OFFSET(DatasetLinks,0,0,1),0),"Analysis method ", AnalysisMethodLookup, 1)),"#",MINDS!$C$19&amp;".A.a."&amp;"#"))</f>
        <v/>
      </c>
      <c r="AJ43" s="2" t="str">
        <f ca="1">IF(AJ$41="","",SUBSTITUTE(TEXTJOINARRAY("|",TRUE,FINDLINKS(DatasetLinks,MATCH("Dataset "&amp;MINDS!AJ$55,OFFSET(DatasetLinks,0,0,1),0),"Experimental method ", ExperimentalMethodLookup, 1)),"#",MINDS!$C$19&amp;".A.e."&amp;"#")&amp;"|"&amp;SUBSTITUTE(TEXTJOINARRAY("|",TRUE,FINDLINKS(DatasetLinks,MATCH("Dataset "&amp;MINDS!AJ$55,OFFSET(DatasetLinks,0,0,1),0),"Analysis method ", AnalysisMethodLookup, 1)),"#",MINDS!$C$19&amp;".A.a."&amp;"#"))</f>
        <v/>
      </c>
      <c r="AK43" s="2" t="str">
        <f ca="1">IF(AK$41="","",SUBSTITUTE(TEXTJOINARRAY("|",TRUE,FINDLINKS(DatasetLinks,MATCH("Dataset "&amp;MINDS!AK$55,OFFSET(DatasetLinks,0,0,1),0),"Experimental method ", ExperimentalMethodLookup, 1)),"#",MINDS!$C$19&amp;".A.e."&amp;"#")&amp;"|"&amp;SUBSTITUTE(TEXTJOINARRAY("|",TRUE,FINDLINKS(DatasetLinks,MATCH("Dataset "&amp;MINDS!AK$55,OFFSET(DatasetLinks,0,0,1),0),"Analysis method ", AnalysisMethodLookup, 1)),"#",MINDS!$C$19&amp;".A.a."&amp;"#"))</f>
        <v/>
      </c>
      <c r="AL43" s="2" t="str">
        <f ca="1">IF(AL$41="","",SUBSTITUTE(TEXTJOINARRAY("|",TRUE,FINDLINKS(DatasetLinks,MATCH("Dataset "&amp;MINDS!AL$55,OFFSET(DatasetLinks,0,0,1),0),"Experimental method ", ExperimentalMethodLookup, 1)),"#",MINDS!$C$19&amp;".A.e."&amp;"#")&amp;"|"&amp;SUBSTITUTE(TEXTJOINARRAY("|",TRUE,FINDLINKS(DatasetLinks,MATCH("Dataset "&amp;MINDS!AL$55,OFFSET(DatasetLinks,0,0,1),0),"Analysis method ", AnalysisMethodLookup, 1)),"#",MINDS!$C$19&amp;".A.a."&amp;"#"))</f>
        <v/>
      </c>
      <c r="AM43" s="2" t="str">
        <f ca="1">IF(AM$41="","",SUBSTITUTE(TEXTJOINARRAY("|",TRUE,FINDLINKS(DatasetLinks,MATCH("Dataset "&amp;MINDS!AM$55,OFFSET(DatasetLinks,0,0,1),0),"Experimental method ", ExperimentalMethodLookup, 1)),"#",MINDS!$C$19&amp;".A.e."&amp;"#")&amp;"|"&amp;SUBSTITUTE(TEXTJOINARRAY("|",TRUE,FINDLINKS(DatasetLinks,MATCH("Dataset "&amp;MINDS!AM$55,OFFSET(DatasetLinks,0,0,1),0),"Analysis method ", AnalysisMethodLookup, 1)),"#",MINDS!$C$19&amp;".A.a."&amp;"#"))</f>
        <v/>
      </c>
      <c r="AN43" s="2" t="str">
        <f ca="1">IF(AN$41="","",SUBSTITUTE(TEXTJOINARRAY("|",TRUE,FINDLINKS(DatasetLinks,MATCH("Dataset "&amp;MINDS!AN$55,OFFSET(DatasetLinks,0,0,1),0),"Experimental method ", ExperimentalMethodLookup, 1)),"#",MINDS!$C$19&amp;".A.e."&amp;"#")&amp;"|"&amp;SUBSTITUTE(TEXTJOINARRAY("|",TRUE,FINDLINKS(DatasetLinks,MATCH("Dataset "&amp;MINDS!AN$55,OFFSET(DatasetLinks,0,0,1),0),"Analysis method ", AnalysisMethodLookup, 1)),"#",MINDS!$C$19&amp;".A.a."&amp;"#"))</f>
        <v/>
      </c>
      <c r="AO43" s="2" t="str">
        <f ca="1">IF(AO$41="","",SUBSTITUTE(TEXTJOINARRAY("|",TRUE,FINDLINKS(DatasetLinks,MATCH("Dataset "&amp;MINDS!AO$55,OFFSET(DatasetLinks,0,0,1),0),"Experimental method ", ExperimentalMethodLookup, 1)),"#",MINDS!$C$19&amp;".A.e."&amp;"#")&amp;"|"&amp;SUBSTITUTE(TEXTJOINARRAY("|",TRUE,FINDLINKS(DatasetLinks,MATCH("Dataset "&amp;MINDS!AO$55,OFFSET(DatasetLinks,0,0,1),0),"Analysis method ", AnalysisMethodLookup, 1)),"#",MINDS!$C$19&amp;".A.a."&amp;"#"))</f>
        <v/>
      </c>
      <c r="AP43" s="2" t="str">
        <f ca="1">IF(AP$41="","",SUBSTITUTE(TEXTJOINARRAY("|",TRUE,FINDLINKS(DatasetLinks,MATCH("Dataset "&amp;MINDS!AP$55,OFFSET(DatasetLinks,0,0,1),0),"Experimental method ", ExperimentalMethodLookup, 1)),"#",MINDS!$C$19&amp;".A.e."&amp;"#")&amp;"|"&amp;SUBSTITUTE(TEXTJOINARRAY("|",TRUE,FINDLINKS(DatasetLinks,MATCH("Dataset "&amp;MINDS!AP$55,OFFSET(DatasetLinks,0,0,1),0),"Analysis method ", AnalysisMethodLookup, 1)),"#",MINDS!$C$19&amp;".A.a."&amp;"#"))</f>
        <v/>
      </c>
      <c r="AQ43" s="2" t="str">
        <f ca="1">IF(AQ$41="","",SUBSTITUTE(TEXTJOINARRAY("|",TRUE,FINDLINKS(DatasetLinks,MATCH("Dataset "&amp;MINDS!AQ$55,OFFSET(DatasetLinks,0,0,1),0),"Experimental method ", ExperimentalMethodLookup, 1)),"#",MINDS!$C$19&amp;".A.e."&amp;"#")&amp;"|"&amp;SUBSTITUTE(TEXTJOINARRAY("|",TRUE,FINDLINKS(DatasetLinks,MATCH("Dataset "&amp;MINDS!AQ$55,OFFSET(DatasetLinks,0,0,1),0),"Analysis method ", AnalysisMethodLookup, 1)),"#",MINDS!$C$19&amp;".A.a."&amp;"#"))</f>
        <v/>
      </c>
      <c r="AR43" s="2" t="str">
        <f ca="1">IF(AR$41="","",SUBSTITUTE(TEXTJOINARRAY("|",TRUE,FINDLINKS(DatasetLinks,MATCH("Dataset "&amp;MINDS!AR$55,OFFSET(DatasetLinks,0,0,1),0),"Experimental method ", ExperimentalMethodLookup, 1)),"#",MINDS!$C$19&amp;".A.e."&amp;"#")&amp;"|"&amp;SUBSTITUTE(TEXTJOINARRAY("|",TRUE,FINDLINKS(DatasetLinks,MATCH("Dataset "&amp;MINDS!AR$55,OFFSET(DatasetLinks,0,0,1),0),"Analysis method ", AnalysisMethodLookup, 1)),"#",MINDS!$C$19&amp;".A.a."&amp;"#"))</f>
        <v/>
      </c>
      <c r="AS43" s="2" t="str">
        <f ca="1">IF(AS$41="","",SUBSTITUTE(TEXTJOINARRAY("|",TRUE,FINDLINKS(DatasetLinks,MATCH("Dataset "&amp;MINDS!AS$55,OFFSET(DatasetLinks,0,0,1),0),"Experimental method ", ExperimentalMethodLookup, 1)),"#",MINDS!$C$19&amp;".A.e."&amp;"#")&amp;"|"&amp;SUBSTITUTE(TEXTJOINARRAY("|",TRUE,FINDLINKS(DatasetLinks,MATCH("Dataset "&amp;MINDS!AS$55,OFFSET(DatasetLinks,0,0,1),0),"Analysis method ", AnalysisMethodLookup, 1)),"#",MINDS!$C$19&amp;".A.a."&amp;"#"))</f>
        <v/>
      </c>
      <c r="AT43" s="2" t="str">
        <f ca="1">IF(AT$41="","",SUBSTITUTE(TEXTJOINARRAY("|",TRUE,FINDLINKS(DatasetLinks,MATCH("Dataset "&amp;MINDS!AT$55,OFFSET(DatasetLinks,0,0,1),0),"Experimental method ", ExperimentalMethodLookup, 1)),"#",MINDS!$C$19&amp;".A.e."&amp;"#")&amp;"|"&amp;SUBSTITUTE(TEXTJOINARRAY("|",TRUE,FINDLINKS(DatasetLinks,MATCH("Dataset "&amp;MINDS!AT$55,OFFSET(DatasetLinks,0,0,1),0),"Analysis method ", AnalysisMethodLookup, 1)),"#",MINDS!$C$19&amp;".A.a."&amp;"#"))</f>
        <v/>
      </c>
      <c r="AU43" s="2" t="str">
        <f ca="1">IF(AU$41="","",SUBSTITUTE(TEXTJOINARRAY("|",TRUE,FINDLINKS(DatasetLinks,MATCH("Dataset "&amp;MINDS!AU$55,OFFSET(DatasetLinks,0,0,1),0),"Experimental method ", ExperimentalMethodLookup, 1)),"#",MINDS!$C$19&amp;".A.e."&amp;"#")&amp;"|"&amp;SUBSTITUTE(TEXTJOINARRAY("|",TRUE,FINDLINKS(DatasetLinks,MATCH("Dataset "&amp;MINDS!AU$55,OFFSET(DatasetLinks,0,0,1),0),"Analysis method ", AnalysisMethodLookup, 1)),"#",MINDS!$C$19&amp;".A.a."&amp;"#"))</f>
        <v/>
      </c>
      <c r="AV43" s="2" t="str">
        <f ca="1">IF(AV$41="","",SUBSTITUTE(TEXTJOINARRAY("|",TRUE,FINDLINKS(DatasetLinks,MATCH("Dataset "&amp;MINDS!AV$55,OFFSET(DatasetLinks,0,0,1),0),"Experimental method ", ExperimentalMethodLookup, 1)),"#",MINDS!$C$19&amp;".A.e."&amp;"#")&amp;"|"&amp;SUBSTITUTE(TEXTJOINARRAY("|",TRUE,FINDLINKS(DatasetLinks,MATCH("Dataset "&amp;MINDS!AV$55,OFFSET(DatasetLinks,0,0,1),0),"Analysis method ", AnalysisMethodLookup, 1)),"#",MINDS!$C$19&amp;".A.a."&amp;"#"))</f>
        <v/>
      </c>
      <c r="AW43" s="2" t="str">
        <f ca="1">IF(AW$41="","",SUBSTITUTE(TEXTJOINARRAY("|",TRUE,FINDLINKS(DatasetLinks,MATCH("Dataset "&amp;MINDS!AW$55,OFFSET(DatasetLinks,0,0,1),0),"Experimental method ", ExperimentalMethodLookup, 1)),"#",MINDS!$C$19&amp;".A.e."&amp;"#")&amp;"|"&amp;SUBSTITUTE(TEXTJOINARRAY("|",TRUE,FINDLINKS(DatasetLinks,MATCH("Dataset "&amp;MINDS!AW$55,OFFSET(DatasetLinks,0,0,1),0),"Analysis method ", AnalysisMethodLookup, 1)),"#",MINDS!$C$19&amp;".A.a."&amp;"#"))</f>
        <v/>
      </c>
      <c r="AX43" s="2" t="str">
        <f ca="1">IF(AX$41="","",SUBSTITUTE(TEXTJOINARRAY("|",TRUE,FINDLINKS(DatasetLinks,MATCH("Dataset "&amp;MINDS!AX$55,OFFSET(DatasetLinks,0,0,1),0),"Experimental method ", ExperimentalMethodLookup, 1)),"#",MINDS!$C$19&amp;".A.e."&amp;"#")&amp;"|"&amp;SUBSTITUTE(TEXTJOINARRAY("|",TRUE,FINDLINKS(DatasetLinks,MATCH("Dataset "&amp;MINDS!AX$55,OFFSET(DatasetLinks,0,0,1),0),"Analysis method ", AnalysisMethodLookup, 1)),"#",MINDS!$C$19&amp;".A.a."&amp;"#"))</f>
        <v/>
      </c>
      <c r="AY43" s="2" t="str">
        <f ca="1">IF(AY$41="","",SUBSTITUTE(TEXTJOINARRAY("|",TRUE,FINDLINKS(DatasetLinks,MATCH("Dataset "&amp;MINDS!AY$55,OFFSET(DatasetLinks,0,0,1),0),"Experimental method ", ExperimentalMethodLookup, 1)),"#",MINDS!$C$19&amp;".A.e."&amp;"#")&amp;"|"&amp;SUBSTITUTE(TEXTJOINARRAY("|",TRUE,FINDLINKS(DatasetLinks,MATCH("Dataset "&amp;MINDS!AY$55,OFFSET(DatasetLinks,0,0,1),0),"Analysis method ", AnalysisMethodLookup, 1)),"#",MINDS!$C$19&amp;".A.a."&amp;"#"))</f>
        <v/>
      </c>
      <c r="AZ43" s="2" t="str">
        <f ca="1">IF(AZ$41="","",SUBSTITUTE(TEXTJOINARRAY("|",TRUE,FINDLINKS(DatasetLinks,MATCH("Dataset "&amp;MINDS!AZ$55,OFFSET(DatasetLinks,0,0,1),0),"Experimental method ", ExperimentalMethodLookup, 1)),"#",MINDS!$C$19&amp;".A.e."&amp;"#")&amp;"|"&amp;SUBSTITUTE(TEXTJOINARRAY("|",TRUE,FINDLINKS(DatasetLinks,MATCH("Dataset "&amp;MINDS!AZ$55,OFFSET(DatasetLinks,0,0,1),0),"Analysis method ", AnalysisMethodLookup, 1)),"#",MINDS!$C$19&amp;".A.a."&amp;"#"))</f>
        <v/>
      </c>
      <c r="BA43" s="2" t="str">
        <f ca="1">IF(BA$41="","",SUBSTITUTE(TEXTJOINARRAY("|",TRUE,FINDLINKS(DatasetLinks,MATCH("Dataset "&amp;MINDS!BA$55,OFFSET(DatasetLinks,0,0,1),0),"Experimental method ", ExperimentalMethodLookup, 1)),"#",MINDS!$C$19&amp;".A.e."&amp;"#")&amp;"|"&amp;SUBSTITUTE(TEXTJOINARRAY("|",TRUE,FINDLINKS(DatasetLinks,MATCH("Dataset "&amp;MINDS!BA$55,OFFSET(DatasetLinks,0,0,1),0),"Analysis method ", AnalysisMethodLookup, 1)),"#",MINDS!$C$19&amp;".A.a."&amp;"#"))</f>
        <v/>
      </c>
      <c r="BB43" s="2" t="str">
        <f ca="1">IF(BB$41="","",SUBSTITUTE(TEXTJOINARRAY("|",TRUE,FINDLINKS(DatasetLinks,MATCH("Dataset "&amp;MINDS!BB$55,OFFSET(DatasetLinks,0,0,1),0),"Experimental method ", ExperimentalMethodLookup, 1)),"#",MINDS!$C$19&amp;".A.e."&amp;"#")&amp;"|"&amp;SUBSTITUTE(TEXTJOINARRAY("|",TRUE,FINDLINKS(DatasetLinks,MATCH("Dataset "&amp;MINDS!BB$55,OFFSET(DatasetLinks,0,0,1),0),"Analysis method ", AnalysisMethodLookup, 1)),"#",MINDS!$C$19&amp;".A.a."&amp;"#"))</f>
        <v/>
      </c>
      <c r="BC43" s="2" t="str">
        <f ca="1">IF(BC$41="","",SUBSTITUTE(TEXTJOINARRAY("|",TRUE,FINDLINKS(DatasetLinks,MATCH("Dataset "&amp;MINDS!BC$55,OFFSET(DatasetLinks,0,0,1),0),"Experimental method ", ExperimentalMethodLookup, 1)),"#",MINDS!$C$19&amp;".A.e."&amp;"#")&amp;"|"&amp;SUBSTITUTE(TEXTJOINARRAY("|",TRUE,FINDLINKS(DatasetLinks,MATCH("Dataset "&amp;MINDS!BC$55,OFFSET(DatasetLinks,0,0,1),0),"Analysis method ", AnalysisMethodLookup, 1)),"#",MINDS!$C$19&amp;".A.a."&amp;"#"))</f>
        <v/>
      </c>
      <c r="BD43" s="2" t="str">
        <f ca="1">IF(BD$41="","",SUBSTITUTE(TEXTJOINARRAY("|",TRUE,FINDLINKS(DatasetLinks,MATCH("Dataset "&amp;MINDS!BD$55,OFFSET(DatasetLinks,0,0,1),0),"Experimental method ", ExperimentalMethodLookup, 1)),"#",MINDS!$C$19&amp;".A.e."&amp;"#")&amp;"|"&amp;SUBSTITUTE(TEXTJOINARRAY("|",TRUE,FINDLINKS(DatasetLinks,MATCH("Dataset "&amp;MINDS!BD$55,OFFSET(DatasetLinks,0,0,1),0),"Analysis method ", AnalysisMethodLookup, 1)),"#",MINDS!$C$19&amp;".A.a."&amp;"#"))</f>
        <v/>
      </c>
      <c r="BE43" s="2" t="str">
        <f ca="1">IF(BE$41="","",SUBSTITUTE(TEXTJOINARRAY("|",TRUE,FINDLINKS(DatasetLinks,MATCH("Dataset "&amp;MINDS!BE$55,OFFSET(DatasetLinks,0,0,1),0),"Experimental method ", ExperimentalMethodLookup, 1)),"#",MINDS!$C$19&amp;".A.e."&amp;"#")&amp;"|"&amp;SUBSTITUTE(TEXTJOINARRAY("|",TRUE,FINDLINKS(DatasetLinks,MATCH("Dataset "&amp;MINDS!BE$55,OFFSET(DatasetLinks,0,0,1),0),"Analysis method ", AnalysisMethodLookup, 1)),"#",MINDS!$C$19&amp;".A.a."&amp;"#"))</f>
        <v/>
      </c>
      <c r="BF43" s="2" t="str">
        <f ca="1">IF(BF$41="","",SUBSTITUTE(TEXTJOINARRAY("|",TRUE,FINDLINKS(DatasetLinks,MATCH("Dataset "&amp;MINDS!BF$55,OFFSET(DatasetLinks,0,0,1),0),"Experimental method ", ExperimentalMethodLookup, 1)),"#",MINDS!$C$19&amp;".A.e."&amp;"#")&amp;"|"&amp;SUBSTITUTE(TEXTJOINARRAY("|",TRUE,FINDLINKS(DatasetLinks,MATCH("Dataset "&amp;MINDS!BF$55,OFFSET(DatasetLinks,0,0,1),0),"Analysis method ", AnalysisMethodLookup, 1)),"#",MINDS!$C$19&amp;".A.a."&amp;"#"))</f>
        <v/>
      </c>
      <c r="BG43" s="2" t="str">
        <f ca="1">IF(BG$41="","",SUBSTITUTE(TEXTJOINARRAY("|",TRUE,FINDLINKS(DatasetLinks,MATCH("Dataset "&amp;MINDS!BG$55,OFFSET(DatasetLinks,0,0,1),0),"Experimental method ", ExperimentalMethodLookup, 1)),"#",MINDS!$C$19&amp;".A.e."&amp;"#")&amp;"|"&amp;SUBSTITUTE(TEXTJOINARRAY("|",TRUE,FINDLINKS(DatasetLinks,MATCH("Dataset "&amp;MINDS!BG$55,OFFSET(DatasetLinks,0,0,1),0),"Analysis method ", AnalysisMethodLookup, 1)),"#",MINDS!$C$19&amp;".A.a."&amp;"#"))</f>
        <v/>
      </c>
      <c r="BH43" s="2" t="str">
        <f ca="1">IF(BH$41="","",SUBSTITUTE(TEXTJOINARRAY("|",TRUE,FINDLINKS(DatasetLinks,MATCH("Dataset "&amp;MINDS!BH$55,OFFSET(DatasetLinks,0,0,1),0),"Experimental method ", ExperimentalMethodLookup, 1)),"#",MINDS!$C$19&amp;".A.e."&amp;"#")&amp;"|"&amp;SUBSTITUTE(TEXTJOINARRAY("|",TRUE,FINDLINKS(DatasetLinks,MATCH("Dataset "&amp;MINDS!BH$55,OFFSET(DatasetLinks,0,0,1),0),"Analysis method ", AnalysisMethodLookup, 1)),"#",MINDS!$C$19&amp;".A.a."&amp;"#"))</f>
        <v/>
      </c>
      <c r="BI43" s="2" t="str">
        <f ca="1">IF(BI$41="","",SUBSTITUTE(TEXTJOINARRAY("|",TRUE,FINDLINKS(DatasetLinks,MATCH("Dataset "&amp;MINDS!BI$55,OFFSET(DatasetLinks,0,0,1),0),"Experimental method ", ExperimentalMethodLookup, 1)),"#",MINDS!$C$19&amp;".A.e."&amp;"#")&amp;"|"&amp;SUBSTITUTE(TEXTJOINARRAY("|",TRUE,FINDLINKS(DatasetLinks,MATCH("Dataset "&amp;MINDS!BI$55,OFFSET(DatasetLinks,0,0,1),0),"Analysis method ", AnalysisMethodLookup, 1)),"#",MINDS!$C$19&amp;".A.a."&amp;"#"))</f>
        <v/>
      </c>
      <c r="BJ43" s="2" t="str">
        <f ca="1">IF(BJ$41="","",SUBSTITUTE(TEXTJOINARRAY("|",TRUE,FINDLINKS(DatasetLinks,MATCH("Dataset "&amp;MINDS!BJ$55,OFFSET(DatasetLinks,0,0,1),0),"Experimental method ", ExperimentalMethodLookup, 1)),"#",MINDS!$C$19&amp;".A.e."&amp;"#")&amp;"|"&amp;SUBSTITUTE(TEXTJOINARRAY("|",TRUE,FINDLINKS(DatasetLinks,MATCH("Dataset "&amp;MINDS!BJ$55,OFFSET(DatasetLinks,0,0,1),0),"Analysis method ", AnalysisMethodLookup, 1)),"#",MINDS!$C$19&amp;".A.a."&amp;"#"))</f>
        <v/>
      </c>
      <c r="BK43" s="2" t="str">
        <f ca="1">IF(BK$41="","",SUBSTITUTE(TEXTJOINARRAY("|",TRUE,FINDLINKS(DatasetLinks,MATCH("Dataset "&amp;MINDS!BK$55,OFFSET(DatasetLinks,0,0,1),0),"Experimental method ", ExperimentalMethodLookup, 1)),"#",MINDS!$C$19&amp;".A.e."&amp;"#")&amp;"|"&amp;SUBSTITUTE(TEXTJOINARRAY("|",TRUE,FINDLINKS(DatasetLinks,MATCH("Dataset "&amp;MINDS!BK$55,OFFSET(DatasetLinks,0,0,1),0),"Analysis method ", AnalysisMethodLookup, 1)),"#",MINDS!$C$19&amp;".A.a."&amp;"#"))</f>
        <v/>
      </c>
      <c r="BL43" s="2" t="str">
        <f ca="1">IF(BL$41="","",SUBSTITUTE(TEXTJOINARRAY("|",TRUE,FINDLINKS(DatasetLinks,MATCH("Dataset "&amp;MINDS!BL$55,OFFSET(DatasetLinks,0,0,1),0),"Experimental method ", ExperimentalMethodLookup, 1)),"#",MINDS!$C$19&amp;".A.e."&amp;"#")&amp;"|"&amp;SUBSTITUTE(TEXTJOINARRAY("|",TRUE,FINDLINKS(DatasetLinks,MATCH("Dataset "&amp;MINDS!BL$55,OFFSET(DatasetLinks,0,0,1),0),"Analysis method ", AnalysisMethodLookup, 1)),"#",MINDS!$C$19&amp;".A.a."&amp;"#"))</f>
        <v/>
      </c>
      <c r="BM43" s="2" t="str">
        <f ca="1">IF(BM$41="","",SUBSTITUTE(TEXTJOINARRAY("|",TRUE,FINDLINKS(DatasetLinks,MATCH("Dataset "&amp;MINDS!BM$55,OFFSET(DatasetLinks,0,0,1),0),"Experimental method ", ExperimentalMethodLookup, 1)),"#",MINDS!$C$19&amp;".A.e."&amp;"#")&amp;"|"&amp;SUBSTITUTE(TEXTJOINARRAY("|",TRUE,FINDLINKS(DatasetLinks,MATCH("Dataset "&amp;MINDS!BM$55,OFFSET(DatasetLinks,0,0,1),0),"Analysis method ", AnalysisMethodLookup, 1)),"#",MINDS!$C$19&amp;".A.a."&amp;"#"))</f>
        <v/>
      </c>
      <c r="BN43" s="2" t="str">
        <f ca="1">IF(BN$41="","",SUBSTITUTE(TEXTJOINARRAY("|",TRUE,FINDLINKS(DatasetLinks,MATCH("Dataset "&amp;MINDS!BN$55,OFFSET(DatasetLinks,0,0,1),0),"Experimental method ", ExperimentalMethodLookup, 1)),"#",MINDS!$C$19&amp;".A.e."&amp;"#")&amp;"|"&amp;SUBSTITUTE(TEXTJOINARRAY("|",TRUE,FINDLINKS(DatasetLinks,MATCH("Dataset "&amp;MINDS!BN$55,OFFSET(DatasetLinks,0,0,1),0),"Analysis method ", AnalysisMethodLookup, 1)),"#",MINDS!$C$19&amp;".A.a."&amp;"#"))</f>
        <v/>
      </c>
      <c r="BO43" s="2" t="str">
        <f ca="1">IF(BO$41="","",SUBSTITUTE(TEXTJOINARRAY("|",TRUE,FINDLINKS(DatasetLinks,MATCH("Dataset "&amp;MINDS!BO$55,OFFSET(DatasetLinks,0,0,1),0),"Experimental method ", ExperimentalMethodLookup, 1)),"#",MINDS!$C$19&amp;".A.e."&amp;"#")&amp;"|"&amp;SUBSTITUTE(TEXTJOINARRAY("|",TRUE,FINDLINKS(DatasetLinks,MATCH("Dataset "&amp;MINDS!BO$55,OFFSET(DatasetLinks,0,0,1),0),"Analysis method ", AnalysisMethodLookup, 1)),"#",MINDS!$C$19&amp;".A.a."&amp;"#"))</f>
        <v/>
      </c>
      <c r="BP43" s="2" t="str">
        <f ca="1">IF(BP$41="","",SUBSTITUTE(TEXTJOINARRAY("|",TRUE,FINDLINKS(DatasetLinks,MATCH("Dataset "&amp;MINDS!BP$55,OFFSET(DatasetLinks,0,0,1),0),"Experimental method ", ExperimentalMethodLookup, 1)),"#",MINDS!$C$19&amp;".A.e."&amp;"#")&amp;"|"&amp;SUBSTITUTE(TEXTJOINARRAY("|",TRUE,FINDLINKS(DatasetLinks,MATCH("Dataset "&amp;MINDS!BP$55,OFFSET(DatasetLinks,0,0,1),0),"Analysis method ", AnalysisMethodLookup, 1)),"#",MINDS!$C$19&amp;".A.a."&amp;"#"))</f>
        <v/>
      </c>
      <c r="BQ43" s="2" t="str">
        <f ca="1">IF(BQ$41="","",SUBSTITUTE(TEXTJOINARRAY("|",TRUE,FINDLINKS(DatasetLinks,MATCH("Dataset "&amp;MINDS!BQ$55,OFFSET(DatasetLinks,0,0,1),0),"Experimental method ", ExperimentalMethodLookup, 1)),"#",MINDS!$C$19&amp;".A.e."&amp;"#")&amp;"|"&amp;SUBSTITUTE(TEXTJOINARRAY("|",TRUE,FINDLINKS(DatasetLinks,MATCH("Dataset "&amp;MINDS!BQ$55,OFFSET(DatasetLinks,0,0,1),0),"Analysis method ", AnalysisMethodLookup, 1)),"#",MINDS!$C$19&amp;".A.a."&amp;"#"))</f>
        <v/>
      </c>
      <c r="BR43" s="2" t="str">
        <f ca="1">IF(BR$41="","",SUBSTITUTE(TEXTJOINARRAY("|",TRUE,FINDLINKS(DatasetLinks,MATCH("Dataset "&amp;MINDS!BR$55,OFFSET(DatasetLinks,0,0,1),0),"Experimental method ", ExperimentalMethodLookup, 1)),"#",MINDS!$C$19&amp;".A.e."&amp;"#")&amp;"|"&amp;SUBSTITUTE(TEXTJOINARRAY("|",TRUE,FINDLINKS(DatasetLinks,MATCH("Dataset "&amp;MINDS!BR$55,OFFSET(DatasetLinks,0,0,1),0),"Analysis method ", AnalysisMethodLookup, 1)),"#",MINDS!$C$19&amp;".A.a."&amp;"#"))</f>
        <v/>
      </c>
      <c r="BS43" s="2" t="str">
        <f ca="1">IF(BS$41="","",SUBSTITUTE(TEXTJOINARRAY("|",TRUE,FINDLINKS(DatasetLinks,MATCH("Dataset "&amp;MINDS!BS$55,OFFSET(DatasetLinks,0,0,1),0),"Experimental method ", ExperimentalMethodLookup, 1)),"#",MINDS!$C$19&amp;".A.e."&amp;"#")&amp;"|"&amp;SUBSTITUTE(TEXTJOINARRAY("|",TRUE,FINDLINKS(DatasetLinks,MATCH("Dataset "&amp;MINDS!BS$55,OFFSET(DatasetLinks,0,0,1),0),"Analysis method ", AnalysisMethodLookup, 1)),"#",MINDS!$C$19&amp;".A.a."&amp;"#"))</f>
        <v/>
      </c>
      <c r="BT43" s="2" t="str">
        <f ca="1">IF(BT$41="","",SUBSTITUTE(TEXTJOINARRAY("|",TRUE,FINDLINKS(DatasetLinks,MATCH("Dataset "&amp;MINDS!BT$55,OFFSET(DatasetLinks,0,0,1),0),"Experimental method ", ExperimentalMethodLookup, 1)),"#",MINDS!$C$19&amp;".A.e."&amp;"#")&amp;"|"&amp;SUBSTITUTE(TEXTJOINARRAY("|",TRUE,FINDLINKS(DatasetLinks,MATCH("Dataset "&amp;MINDS!BT$55,OFFSET(DatasetLinks,0,0,1),0),"Analysis method ", AnalysisMethodLookup, 1)),"#",MINDS!$C$19&amp;".A.a."&amp;"#"))</f>
        <v/>
      </c>
      <c r="BU43" s="2" t="str">
        <f ca="1">IF(BU$41="","",SUBSTITUTE(TEXTJOINARRAY("|",TRUE,FINDLINKS(DatasetLinks,MATCH("Dataset "&amp;MINDS!BU$55,OFFSET(DatasetLinks,0,0,1),0),"Experimental method ", ExperimentalMethodLookup, 1)),"#",MINDS!$C$19&amp;".A.e."&amp;"#")&amp;"|"&amp;SUBSTITUTE(TEXTJOINARRAY("|",TRUE,FINDLINKS(DatasetLinks,MATCH("Dataset "&amp;MINDS!BU$55,OFFSET(DatasetLinks,0,0,1),0),"Analysis method ", AnalysisMethodLookup, 1)),"#",MINDS!$C$19&amp;".A.a."&amp;"#"))</f>
        <v/>
      </c>
      <c r="BV43" s="2" t="str">
        <f ca="1">IF(BV$41="","",SUBSTITUTE(TEXTJOINARRAY("|",TRUE,FINDLINKS(DatasetLinks,MATCH("Dataset "&amp;MINDS!BV$55,OFFSET(DatasetLinks,0,0,1),0),"Experimental method ", ExperimentalMethodLookup, 1)),"#",MINDS!$C$19&amp;".A.e."&amp;"#")&amp;"|"&amp;SUBSTITUTE(TEXTJOINARRAY("|",TRUE,FINDLINKS(DatasetLinks,MATCH("Dataset "&amp;MINDS!BV$55,OFFSET(DatasetLinks,0,0,1),0),"Analysis method ", AnalysisMethodLookup, 1)),"#",MINDS!$C$19&amp;".A.a."&amp;"#"))</f>
        <v/>
      </c>
      <c r="BW43" s="2" t="str">
        <f ca="1">IF(BW$41="","",SUBSTITUTE(TEXTJOINARRAY("|",TRUE,FINDLINKS(DatasetLinks,MATCH("Dataset "&amp;MINDS!BW$55,OFFSET(DatasetLinks,0,0,1),0),"Experimental method ", ExperimentalMethodLookup, 1)),"#",MINDS!$C$19&amp;".A.e."&amp;"#")&amp;"|"&amp;SUBSTITUTE(TEXTJOINARRAY("|",TRUE,FINDLINKS(DatasetLinks,MATCH("Dataset "&amp;MINDS!BW$55,OFFSET(DatasetLinks,0,0,1),0),"Analysis method ", AnalysisMethodLookup, 1)),"#",MINDS!$C$19&amp;".A.a."&amp;"#"))</f>
        <v/>
      </c>
      <c r="BX43" s="2" t="str">
        <f ca="1">IF(BX$41="","",SUBSTITUTE(TEXTJOINARRAY("|",TRUE,FINDLINKS(DatasetLinks,MATCH("Dataset "&amp;MINDS!BX$55,OFFSET(DatasetLinks,0,0,1),0),"Experimental method ", ExperimentalMethodLookup, 1)),"#",MINDS!$C$19&amp;".A.e."&amp;"#")&amp;"|"&amp;SUBSTITUTE(TEXTJOINARRAY("|",TRUE,FINDLINKS(DatasetLinks,MATCH("Dataset "&amp;MINDS!BX$55,OFFSET(DatasetLinks,0,0,1),0),"Analysis method ", AnalysisMethodLookup, 1)),"#",MINDS!$C$19&amp;".A.a."&amp;"#"))</f>
        <v/>
      </c>
      <c r="BY43" s="2" t="str">
        <f ca="1">IF(BY$41="","",SUBSTITUTE(TEXTJOINARRAY("|",TRUE,FINDLINKS(DatasetLinks,MATCH("Dataset "&amp;MINDS!BY$55,OFFSET(DatasetLinks,0,0,1),0),"Experimental method ", ExperimentalMethodLookup, 1)),"#",MINDS!$C$19&amp;".A.e."&amp;"#")&amp;"|"&amp;SUBSTITUTE(TEXTJOINARRAY("|",TRUE,FINDLINKS(DatasetLinks,MATCH("Dataset "&amp;MINDS!BY$55,OFFSET(DatasetLinks,0,0,1),0),"Analysis method ", AnalysisMethodLookup, 1)),"#",MINDS!$C$19&amp;".A.a."&amp;"#"))</f>
        <v/>
      </c>
      <c r="BZ43" s="2" t="str">
        <f ca="1">IF(BZ$41="","",SUBSTITUTE(TEXTJOINARRAY("|",TRUE,FINDLINKS(DatasetLinks,MATCH("Dataset "&amp;MINDS!BZ$55,OFFSET(DatasetLinks,0,0,1),0),"Experimental method ", ExperimentalMethodLookup, 1)),"#",MINDS!$C$19&amp;".A.e."&amp;"#")&amp;"|"&amp;SUBSTITUTE(TEXTJOINARRAY("|",TRUE,FINDLINKS(DatasetLinks,MATCH("Dataset "&amp;MINDS!BZ$55,OFFSET(DatasetLinks,0,0,1),0),"Analysis method ", AnalysisMethodLookup, 1)),"#",MINDS!$C$19&amp;".A.a."&amp;"#"))</f>
        <v/>
      </c>
      <c r="CA43" s="2" t="str">
        <f ca="1">IF(CA$41="","",SUBSTITUTE(TEXTJOINARRAY("|",TRUE,FINDLINKS(DatasetLinks,MATCH("Dataset "&amp;MINDS!CA$55,OFFSET(DatasetLinks,0,0,1),0),"Experimental method ", ExperimentalMethodLookup, 1)),"#",MINDS!$C$19&amp;".A.e."&amp;"#")&amp;"|"&amp;SUBSTITUTE(TEXTJOINARRAY("|",TRUE,FINDLINKS(DatasetLinks,MATCH("Dataset "&amp;MINDS!CA$55,OFFSET(DatasetLinks,0,0,1),0),"Analysis method ", AnalysisMethodLookup, 1)),"#",MINDS!$C$19&amp;".A.a."&amp;"#"))</f>
        <v/>
      </c>
      <c r="CB43" s="2" t="str">
        <f ca="1">IF(CB$41="","",SUBSTITUTE(TEXTJOINARRAY("|",TRUE,FINDLINKS(DatasetLinks,MATCH("Dataset "&amp;MINDS!CB$55,OFFSET(DatasetLinks,0,0,1),0),"Experimental method ", ExperimentalMethodLookup, 1)),"#",MINDS!$C$19&amp;".A.e."&amp;"#")&amp;"|"&amp;SUBSTITUTE(TEXTJOINARRAY("|",TRUE,FINDLINKS(DatasetLinks,MATCH("Dataset "&amp;MINDS!CB$55,OFFSET(DatasetLinks,0,0,1),0),"Analysis method ", AnalysisMethodLookup, 1)),"#",MINDS!$C$19&amp;".A.a."&amp;"#"))</f>
        <v/>
      </c>
      <c r="CC43" s="2" t="str">
        <f ca="1">IF(CC$41="","",SUBSTITUTE(TEXTJOINARRAY("|",TRUE,FINDLINKS(DatasetLinks,MATCH("Dataset "&amp;MINDS!CC$55,OFFSET(DatasetLinks,0,0,1),0),"Experimental method ", ExperimentalMethodLookup, 1)),"#",MINDS!$C$19&amp;".A.e."&amp;"#")&amp;"|"&amp;SUBSTITUTE(TEXTJOINARRAY("|",TRUE,FINDLINKS(DatasetLinks,MATCH("Dataset "&amp;MINDS!CC$55,OFFSET(DatasetLinks,0,0,1),0),"Analysis method ", AnalysisMethodLookup, 1)),"#",MINDS!$C$19&amp;".A.a."&amp;"#"))</f>
        <v/>
      </c>
      <c r="CD43" s="2" t="str">
        <f ca="1">IF(CD$41="","",SUBSTITUTE(TEXTJOINARRAY("|",TRUE,FINDLINKS(DatasetLinks,MATCH("Dataset "&amp;MINDS!CD$55,OFFSET(DatasetLinks,0,0,1),0),"Experimental method ", ExperimentalMethodLookup, 1)),"#",MINDS!$C$19&amp;".A.e."&amp;"#")&amp;"|"&amp;SUBSTITUTE(TEXTJOINARRAY("|",TRUE,FINDLINKS(DatasetLinks,MATCH("Dataset "&amp;MINDS!CD$55,OFFSET(DatasetLinks,0,0,1),0),"Analysis method ", AnalysisMethodLookup, 1)),"#",MINDS!$C$19&amp;".A.a."&amp;"#"))</f>
        <v/>
      </c>
      <c r="CE43" s="2" t="str">
        <f ca="1">IF(CE$41="","",SUBSTITUTE(TEXTJOINARRAY("|",TRUE,FINDLINKS(DatasetLinks,MATCH("Dataset "&amp;MINDS!CE$55,OFFSET(DatasetLinks,0,0,1),0),"Experimental method ", ExperimentalMethodLookup, 1)),"#",MINDS!$C$19&amp;".A.e."&amp;"#")&amp;"|"&amp;SUBSTITUTE(TEXTJOINARRAY("|",TRUE,FINDLINKS(DatasetLinks,MATCH("Dataset "&amp;MINDS!CE$55,OFFSET(DatasetLinks,0,0,1),0),"Analysis method ", AnalysisMethodLookup, 1)),"#",MINDS!$C$19&amp;".A.a."&amp;"#"))</f>
        <v/>
      </c>
      <c r="CF43" s="2" t="str">
        <f ca="1">IF(CF$41="","",SUBSTITUTE(TEXTJOINARRAY("|",TRUE,FINDLINKS(DatasetLinks,MATCH("Dataset "&amp;MINDS!CF$55,OFFSET(DatasetLinks,0,0,1),0),"Experimental method ", ExperimentalMethodLookup, 1)),"#",MINDS!$C$19&amp;".A.e."&amp;"#")&amp;"|"&amp;SUBSTITUTE(TEXTJOINARRAY("|",TRUE,FINDLINKS(DatasetLinks,MATCH("Dataset "&amp;MINDS!CF$55,OFFSET(DatasetLinks,0,0,1),0),"Analysis method ", AnalysisMethodLookup, 1)),"#",MINDS!$C$19&amp;".A.a."&amp;"#"))</f>
        <v/>
      </c>
      <c r="CG43" s="2" t="str">
        <f ca="1">IF(CG$41="","",SUBSTITUTE(TEXTJOINARRAY("|",TRUE,FINDLINKS(DatasetLinks,MATCH("Dataset "&amp;MINDS!CG$55,OFFSET(DatasetLinks,0,0,1),0),"Experimental method ", ExperimentalMethodLookup, 1)),"#",MINDS!$C$19&amp;".A.e."&amp;"#")&amp;"|"&amp;SUBSTITUTE(TEXTJOINARRAY("|",TRUE,FINDLINKS(DatasetLinks,MATCH("Dataset "&amp;MINDS!CG$55,OFFSET(DatasetLinks,0,0,1),0),"Analysis method ", AnalysisMethodLookup, 1)),"#",MINDS!$C$19&amp;".A.a."&amp;"#"))</f>
        <v/>
      </c>
      <c r="CH43" s="2" t="str">
        <f ca="1">IF(CH$41="","",SUBSTITUTE(TEXTJOINARRAY("|",TRUE,FINDLINKS(DatasetLinks,MATCH("Dataset "&amp;MINDS!CH$55,OFFSET(DatasetLinks,0,0,1),0),"Experimental method ", ExperimentalMethodLookup, 1)),"#",MINDS!$C$19&amp;".A.e."&amp;"#")&amp;"|"&amp;SUBSTITUTE(TEXTJOINARRAY("|",TRUE,FINDLINKS(DatasetLinks,MATCH("Dataset "&amp;MINDS!CH$55,OFFSET(DatasetLinks,0,0,1),0),"Analysis method ", AnalysisMethodLookup, 1)),"#",MINDS!$C$19&amp;".A.a."&amp;"#"))</f>
        <v/>
      </c>
      <c r="CI43" s="2" t="str">
        <f ca="1">IF(CI$41="","",SUBSTITUTE(TEXTJOINARRAY("|",TRUE,FINDLINKS(DatasetLinks,MATCH("Dataset "&amp;MINDS!CI$55,OFFSET(DatasetLinks,0,0,1),0),"Experimental method ", ExperimentalMethodLookup, 1)),"#",MINDS!$C$19&amp;".A.e."&amp;"#")&amp;"|"&amp;SUBSTITUTE(TEXTJOINARRAY("|",TRUE,FINDLINKS(DatasetLinks,MATCH("Dataset "&amp;MINDS!CI$55,OFFSET(DatasetLinks,0,0,1),0),"Analysis method ", AnalysisMethodLookup, 1)),"#",MINDS!$C$19&amp;".A.a."&amp;"#"))</f>
        <v/>
      </c>
      <c r="CJ43" s="2" t="str">
        <f ca="1">IF(CJ$41="","",SUBSTITUTE(TEXTJOINARRAY("|",TRUE,FINDLINKS(DatasetLinks,MATCH("Dataset "&amp;MINDS!CJ$55,OFFSET(DatasetLinks,0,0,1),0),"Experimental method ", ExperimentalMethodLookup, 1)),"#",MINDS!$C$19&amp;".A.e."&amp;"#")&amp;"|"&amp;SUBSTITUTE(TEXTJOINARRAY("|",TRUE,FINDLINKS(DatasetLinks,MATCH("Dataset "&amp;MINDS!CJ$55,OFFSET(DatasetLinks,0,0,1),0),"Analysis method ", AnalysisMethodLookup, 1)),"#",MINDS!$C$19&amp;".A.a."&amp;"#"))</f>
        <v/>
      </c>
      <c r="CK43" s="2" t="str">
        <f ca="1">IF(CK$41="","",SUBSTITUTE(TEXTJOINARRAY("|",TRUE,FINDLINKS(DatasetLinks,MATCH("Dataset "&amp;MINDS!CK$55,OFFSET(DatasetLinks,0,0,1),0),"Experimental method ", ExperimentalMethodLookup, 1)),"#",MINDS!$C$19&amp;".A.e."&amp;"#")&amp;"|"&amp;SUBSTITUTE(TEXTJOINARRAY("|",TRUE,FINDLINKS(DatasetLinks,MATCH("Dataset "&amp;MINDS!CK$55,OFFSET(DatasetLinks,0,0,1),0),"Analysis method ", AnalysisMethodLookup, 1)),"#",MINDS!$C$19&amp;".A.a."&amp;"#"))</f>
        <v/>
      </c>
      <c r="CL43" s="2" t="str">
        <f ca="1">IF(CL$41="","",SUBSTITUTE(TEXTJOINARRAY("|",TRUE,FINDLINKS(DatasetLinks,MATCH("Dataset "&amp;MINDS!CL$55,OFFSET(DatasetLinks,0,0,1),0),"Experimental method ", ExperimentalMethodLookup, 1)),"#",MINDS!$C$19&amp;".A.e."&amp;"#")&amp;"|"&amp;SUBSTITUTE(TEXTJOINARRAY("|",TRUE,FINDLINKS(DatasetLinks,MATCH("Dataset "&amp;MINDS!CL$55,OFFSET(DatasetLinks,0,0,1),0),"Analysis method ", AnalysisMethodLookup, 1)),"#",MINDS!$C$19&amp;".A.a."&amp;"#"))</f>
        <v/>
      </c>
      <c r="CM43" s="2" t="str">
        <f ca="1">IF(CM$41="","",SUBSTITUTE(TEXTJOINARRAY("|",TRUE,FINDLINKS(DatasetLinks,MATCH("Dataset "&amp;MINDS!CM$55,OFFSET(DatasetLinks,0,0,1),0),"Experimental method ", ExperimentalMethodLookup, 1)),"#",MINDS!$C$19&amp;".A.e."&amp;"#")&amp;"|"&amp;SUBSTITUTE(TEXTJOINARRAY("|",TRUE,FINDLINKS(DatasetLinks,MATCH("Dataset "&amp;MINDS!CM$55,OFFSET(DatasetLinks,0,0,1),0),"Analysis method ", AnalysisMethodLookup, 1)),"#",MINDS!$C$19&amp;".A.a."&amp;"#"))</f>
        <v/>
      </c>
      <c r="CN43" s="2" t="str">
        <f ca="1">IF(CN$41="","",SUBSTITUTE(TEXTJOINARRAY("|",TRUE,FINDLINKS(DatasetLinks,MATCH("Dataset "&amp;MINDS!CN$55,OFFSET(DatasetLinks,0,0,1),0),"Experimental method ", ExperimentalMethodLookup, 1)),"#",MINDS!$C$19&amp;".A.e."&amp;"#")&amp;"|"&amp;SUBSTITUTE(TEXTJOINARRAY("|",TRUE,FINDLINKS(DatasetLinks,MATCH("Dataset "&amp;MINDS!CN$55,OFFSET(DatasetLinks,0,0,1),0),"Analysis method ", AnalysisMethodLookup, 1)),"#",MINDS!$C$19&amp;".A.a."&amp;"#"))</f>
        <v/>
      </c>
      <c r="CO43" s="2" t="str">
        <f ca="1">IF(CO$41="","",SUBSTITUTE(TEXTJOINARRAY("|",TRUE,FINDLINKS(DatasetLinks,MATCH("Dataset "&amp;MINDS!CO$55,OFFSET(DatasetLinks,0,0,1),0),"Experimental method ", ExperimentalMethodLookup, 1)),"#",MINDS!$C$19&amp;".A.e."&amp;"#")&amp;"|"&amp;SUBSTITUTE(TEXTJOINARRAY("|",TRUE,FINDLINKS(DatasetLinks,MATCH("Dataset "&amp;MINDS!CO$55,OFFSET(DatasetLinks,0,0,1),0),"Analysis method ", AnalysisMethodLookup, 1)),"#",MINDS!$C$19&amp;".A.a."&amp;"#"))</f>
        <v/>
      </c>
      <c r="CP43" s="2" t="str">
        <f ca="1">IF(CP$41="","",SUBSTITUTE(TEXTJOINARRAY("|",TRUE,FINDLINKS(DatasetLinks,MATCH("Dataset "&amp;MINDS!CP$55,OFFSET(DatasetLinks,0,0,1),0),"Experimental method ", ExperimentalMethodLookup, 1)),"#",MINDS!$C$19&amp;".A.e."&amp;"#")&amp;"|"&amp;SUBSTITUTE(TEXTJOINARRAY("|",TRUE,FINDLINKS(DatasetLinks,MATCH("Dataset "&amp;MINDS!CP$55,OFFSET(DatasetLinks,0,0,1),0),"Analysis method ", AnalysisMethodLookup, 1)),"#",MINDS!$C$19&amp;".A.a."&amp;"#"))</f>
        <v/>
      </c>
      <c r="CQ43" s="2" t="str">
        <f ca="1">IF(CQ$41="","",SUBSTITUTE(TEXTJOINARRAY("|",TRUE,FINDLINKS(DatasetLinks,MATCH("Dataset "&amp;MINDS!CQ$55,OFFSET(DatasetLinks,0,0,1),0),"Experimental method ", ExperimentalMethodLookup, 1)),"#",MINDS!$C$19&amp;".A.e."&amp;"#")&amp;"|"&amp;SUBSTITUTE(TEXTJOINARRAY("|",TRUE,FINDLINKS(DatasetLinks,MATCH("Dataset "&amp;MINDS!CQ$55,OFFSET(DatasetLinks,0,0,1),0),"Analysis method ", AnalysisMethodLookup, 1)),"#",MINDS!$C$19&amp;".A.a."&amp;"#"))</f>
        <v/>
      </c>
      <c r="CR43" s="2" t="str">
        <f ca="1">IF(CR$41="","",SUBSTITUTE(TEXTJOINARRAY("|",TRUE,FINDLINKS(DatasetLinks,MATCH("Dataset "&amp;MINDS!CR$55,OFFSET(DatasetLinks,0,0,1),0),"Experimental method ", ExperimentalMethodLookup, 1)),"#",MINDS!$C$19&amp;".A.e."&amp;"#")&amp;"|"&amp;SUBSTITUTE(TEXTJOINARRAY("|",TRUE,FINDLINKS(DatasetLinks,MATCH("Dataset "&amp;MINDS!CR$55,OFFSET(DatasetLinks,0,0,1),0),"Analysis method ", AnalysisMethodLookup, 1)),"#",MINDS!$C$19&amp;".A.a."&amp;"#"))</f>
        <v/>
      </c>
      <c r="CS43" s="2" t="str">
        <f ca="1">IF(CS$41="","",SUBSTITUTE(TEXTJOINARRAY("|",TRUE,FINDLINKS(DatasetLinks,MATCH("Dataset "&amp;MINDS!CS$55,OFFSET(DatasetLinks,0,0,1),0),"Experimental method ", ExperimentalMethodLookup, 1)),"#",MINDS!$C$19&amp;".A.e."&amp;"#")&amp;"|"&amp;SUBSTITUTE(TEXTJOINARRAY("|",TRUE,FINDLINKS(DatasetLinks,MATCH("Dataset "&amp;MINDS!CS$55,OFFSET(DatasetLinks,0,0,1),0),"Analysis method ", AnalysisMethodLookup, 1)),"#",MINDS!$C$19&amp;".A.a."&amp;"#"))</f>
        <v/>
      </c>
      <c r="CT43" s="2" t="str">
        <f ca="1">IF(CT$41="","",SUBSTITUTE(TEXTJOINARRAY("|",TRUE,FINDLINKS(DatasetLinks,MATCH("Dataset "&amp;MINDS!CT$55,OFFSET(DatasetLinks,0,0,1),0),"Experimental method ", ExperimentalMethodLookup, 1)),"#",MINDS!$C$19&amp;".A.e."&amp;"#")&amp;"|"&amp;SUBSTITUTE(TEXTJOINARRAY("|",TRUE,FINDLINKS(DatasetLinks,MATCH("Dataset "&amp;MINDS!CT$55,OFFSET(DatasetLinks,0,0,1),0),"Analysis method ", AnalysisMethodLookup, 1)),"#",MINDS!$C$19&amp;".A.a."&amp;"#"))</f>
        <v/>
      </c>
      <c r="CU43" s="2" t="str">
        <f ca="1">IF(CU$41="","",SUBSTITUTE(TEXTJOINARRAY("|",TRUE,FINDLINKS(DatasetLinks,MATCH("Dataset "&amp;MINDS!CU$55,OFFSET(DatasetLinks,0,0,1),0),"Experimental method ", ExperimentalMethodLookup, 1)),"#",MINDS!$C$19&amp;".A.e."&amp;"#")&amp;"|"&amp;SUBSTITUTE(TEXTJOINARRAY("|",TRUE,FINDLINKS(DatasetLinks,MATCH("Dataset "&amp;MINDS!CU$55,OFFSET(DatasetLinks,0,0,1),0),"Analysis method ", AnalysisMethodLookup, 1)),"#",MINDS!$C$19&amp;".A.a."&amp;"#"))</f>
        <v/>
      </c>
      <c r="CV43" s="2" t="str">
        <f ca="1">IF(CV$41="","",SUBSTITUTE(TEXTJOINARRAY("|",TRUE,FINDLINKS(DatasetLinks,MATCH("Dataset "&amp;MINDS!CV$55,OFFSET(DatasetLinks,0,0,1),0),"Experimental method ", ExperimentalMethodLookup, 1)),"#",MINDS!$C$19&amp;".A.e."&amp;"#")&amp;"|"&amp;SUBSTITUTE(TEXTJOINARRAY("|",TRUE,FINDLINKS(DatasetLinks,MATCH("Dataset "&amp;MINDS!CV$55,OFFSET(DatasetLinks,0,0,1),0),"Analysis method ", AnalysisMethodLookup, 1)),"#",MINDS!$C$19&amp;".A.a."&amp;"#"))</f>
        <v/>
      </c>
      <c r="CW43" s="2" t="str">
        <f ca="1">IF(CW$41="","",SUBSTITUTE(TEXTJOINARRAY("|",TRUE,FINDLINKS(DatasetLinks,MATCH("Dataset "&amp;MINDS!CW$55,OFFSET(DatasetLinks,0,0,1),0),"Experimental method ", ExperimentalMethodLookup, 1)),"#",MINDS!$C$19&amp;".A.e."&amp;"#")&amp;"|"&amp;SUBSTITUTE(TEXTJOINARRAY("|",TRUE,FINDLINKS(DatasetLinks,MATCH("Dataset "&amp;MINDS!CW$55,OFFSET(DatasetLinks,0,0,1),0),"Analysis method ", AnalysisMethodLookup, 1)),"#",MINDS!$C$19&amp;".A.a."&amp;"#"))</f>
        <v/>
      </c>
      <c r="CX43" s="2" t="str">
        <f ca="1">IF(CX$41="","",SUBSTITUTE(TEXTJOINARRAY("|",TRUE,FINDLINKS(DatasetLinks,MATCH("Dataset "&amp;MINDS!CX$55,OFFSET(DatasetLinks,0,0,1),0),"Experimental method ", ExperimentalMethodLookup, 1)),"#",MINDS!$C$19&amp;".A.e."&amp;"#")&amp;"|"&amp;SUBSTITUTE(TEXTJOINARRAY("|",TRUE,FINDLINKS(DatasetLinks,MATCH("Dataset "&amp;MINDS!CX$55,OFFSET(DatasetLinks,0,0,1),0),"Analysis method ", AnalysisMethodLookup, 1)),"#",MINDS!$C$19&amp;".A.a."&amp;"#"))</f>
        <v/>
      </c>
      <c r="CY43" s="2" t="str">
        <f ca="1">IF(CY$41="","",SUBSTITUTE(TEXTJOINARRAY("|",TRUE,FINDLINKS(DatasetLinks,MATCH("Dataset "&amp;MINDS!CY$55,OFFSET(DatasetLinks,0,0,1),0),"Experimental method ", ExperimentalMethodLookup, 1)),"#",MINDS!$C$19&amp;".A.e."&amp;"#")&amp;"|"&amp;SUBSTITUTE(TEXTJOINARRAY("|",TRUE,FINDLINKS(DatasetLinks,MATCH("Dataset "&amp;MINDS!CY$55,OFFSET(DatasetLinks,0,0,1),0),"Analysis method ", AnalysisMethodLookup, 1)),"#",MINDS!$C$19&amp;".A.a."&amp;"#"))</f>
        <v/>
      </c>
      <c r="CZ43" s="2" t="str">
        <f ca="1">IF(CZ$41="","",SUBSTITUTE(TEXTJOINARRAY("|",TRUE,FINDLINKS(DatasetLinks,MATCH("Dataset "&amp;MINDS!CZ$55,OFFSET(DatasetLinks,0,0,1),0),"Experimental method ", ExperimentalMethodLookup, 1)),"#",MINDS!$C$19&amp;".A.e."&amp;"#")&amp;"|"&amp;SUBSTITUTE(TEXTJOINARRAY("|",TRUE,FINDLINKS(DatasetLinks,MATCH("Dataset "&amp;MINDS!CZ$55,OFFSET(DatasetLinks,0,0,1),0),"Analysis method ", AnalysisMethodLookup, 1)),"#",MINDS!$C$19&amp;".A.a."&amp;"#"))</f>
        <v/>
      </c>
      <c r="DA43" s="2" t="str">
        <f ca="1">IF(DA$41="","",SUBSTITUTE(TEXTJOINARRAY("|",TRUE,FINDLINKS(DatasetLinks,MATCH("Dataset "&amp;MINDS!DA$55,OFFSET(DatasetLinks,0,0,1),0),"Experimental method ", ExperimentalMethodLookup, 1)),"#",MINDS!$C$19&amp;".A.e."&amp;"#")&amp;"|"&amp;SUBSTITUTE(TEXTJOINARRAY("|",TRUE,FINDLINKS(DatasetLinks,MATCH("Dataset "&amp;MINDS!DA$55,OFFSET(DatasetLinks,0,0,1),0),"Analysis method ", AnalysisMethodLookup, 1)),"#",MINDS!$C$19&amp;".A.a."&amp;"#"))</f>
        <v/>
      </c>
      <c r="DB43" s="2" t="str">
        <f ca="1">IF(DB$41="","",SUBSTITUTE(TEXTJOINARRAY("|",TRUE,FINDLINKS(DatasetLinks,MATCH("Dataset "&amp;MINDS!DB$55,OFFSET(DatasetLinks,0,0,1),0),"Experimental method ", ExperimentalMethodLookup, 1)),"#",MINDS!$C$19&amp;".A.e."&amp;"#")&amp;"|"&amp;SUBSTITUTE(TEXTJOINARRAY("|",TRUE,FINDLINKS(DatasetLinks,MATCH("Dataset "&amp;MINDS!DB$55,OFFSET(DatasetLinks,0,0,1),0),"Analysis method ", AnalysisMethodLookup, 1)),"#",MINDS!$C$19&amp;".A.a."&amp;"#"))</f>
        <v/>
      </c>
      <c r="DC43" s="2" t="str">
        <f ca="1">IF(DC$41="","",SUBSTITUTE(TEXTJOINARRAY("|",TRUE,FINDLINKS(DatasetLinks,MATCH("Dataset "&amp;MINDS!DC$55,OFFSET(DatasetLinks,0,0,1),0),"Experimental method ", ExperimentalMethodLookup, 1)),"#",MINDS!$C$19&amp;".A.e."&amp;"#")&amp;"|"&amp;SUBSTITUTE(TEXTJOINARRAY("|",TRUE,FINDLINKS(DatasetLinks,MATCH("Dataset "&amp;MINDS!DC$55,OFFSET(DatasetLinks,0,0,1),0),"Analysis method ", AnalysisMethodLookup, 1)),"#",MINDS!$C$19&amp;".A.a."&amp;"#"))</f>
        <v/>
      </c>
      <c r="DD43" s="2" t="str">
        <f ca="1">IF(DD$41="","",SUBSTITUTE(TEXTJOINARRAY("|",TRUE,FINDLINKS(DatasetLinks,MATCH("Dataset "&amp;MINDS!DD$55,OFFSET(DatasetLinks,0,0,1),0),"Experimental method ", ExperimentalMethodLookup, 1)),"#",MINDS!$C$19&amp;".A.e."&amp;"#")&amp;"|"&amp;SUBSTITUTE(TEXTJOINARRAY("|",TRUE,FINDLINKS(DatasetLinks,MATCH("Dataset "&amp;MINDS!DD$55,OFFSET(DatasetLinks,0,0,1),0),"Analysis method ", AnalysisMethodLookup, 1)),"#",MINDS!$C$19&amp;".A.a."&amp;"#"))</f>
        <v/>
      </c>
      <c r="DE43" s="2" t="str">
        <f ca="1">IF(DE$41="","",SUBSTITUTE(TEXTJOINARRAY("|",TRUE,FINDLINKS(DatasetLinks,MATCH("Dataset "&amp;MINDS!DE$55,OFFSET(DatasetLinks,0,0,1),0),"Experimental method ", ExperimentalMethodLookup, 1)),"#",MINDS!$C$19&amp;".A.e."&amp;"#")&amp;"|"&amp;SUBSTITUTE(TEXTJOINARRAY("|",TRUE,FINDLINKS(DatasetLinks,MATCH("Dataset "&amp;MINDS!DE$55,OFFSET(DatasetLinks,0,0,1),0),"Analysis method ", AnalysisMethodLookup, 1)),"#",MINDS!$C$19&amp;".A.a."&amp;"#"))</f>
        <v/>
      </c>
      <c r="DF43" s="2" t="str">
        <f ca="1">IF(DF$41="","",SUBSTITUTE(TEXTJOINARRAY("|",TRUE,FINDLINKS(DatasetLinks,MATCH("Dataset "&amp;MINDS!DF$55,OFFSET(DatasetLinks,0,0,1),0),"Experimental method ", ExperimentalMethodLookup, 1)),"#",MINDS!$C$19&amp;".A.e."&amp;"#")&amp;"|"&amp;SUBSTITUTE(TEXTJOINARRAY("|",TRUE,FINDLINKS(DatasetLinks,MATCH("Dataset "&amp;MINDS!DF$55,OFFSET(DatasetLinks,0,0,1),0),"Analysis method ", AnalysisMethodLookup, 1)),"#",MINDS!$C$19&amp;".A.a."&amp;"#"))</f>
        <v/>
      </c>
      <c r="DG43" s="2" t="str">
        <f ca="1">IF(DG$41="","",SUBSTITUTE(TEXTJOINARRAY("|",TRUE,FINDLINKS(DatasetLinks,MATCH("Dataset "&amp;MINDS!DG$55,OFFSET(DatasetLinks,0,0,1),0),"Experimental method ", ExperimentalMethodLookup, 1)),"#",MINDS!$C$19&amp;".A.e."&amp;"#")&amp;"|"&amp;SUBSTITUTE(TEXTJOINARRAY("|",TRUE,FINDLINKS(DatasetLinks,MATCH("Dataset "&amp;MINDS!DG$55,OFFSET(DatasetLinks,0,0,1),0),"Analysis method ", AnalysisMethodLookup, 1)),"#",MINDS!$C$19&amp;".A.a."&amp;"#"))</f>
        <v/>
      </c>
      <c r="DH43" s="2" t="str">
        <f ca="1">IF(DH$41="","",SUBSTITUTE(TEXTJOINARRAY("|",TRUE,FINDLINKS(DatasetLinks,MATCH("Dataset "&amp;MINDS!DH$55,OFFSET(DatasetLinks,0,0,1),0),"Experimental method ", ExperimentalMethodLookup, 1)),"#",MINDS!$C$19&amp;".A.e."&amp;"#")&amp;"|"&amp;SUBSTITUTE(TEXTJOINARRAY("|",TRUE,FINDLINKS(DatasetLinks,MATCH("Dataset "&amp;MINDS!DH$55,OFFSET(DatasetLinks,0,0,1),0),"Analysis method ", AnalysisMethodLookup, 1)),"#",MINDS!$C$19&amp;".A.a."&amp;"#"))</f>
        <v/>
      </c>
      <c r="DI43" s="2" t="str">
        <f ca="1">IF(DI$41="","",SUBSTITUTE(TEXTJOINARRAY("|",TRUE,FINDLINKS(DatasetLinks,MATCH("Dataset "&amp;MINDS!DI$55,OFFSET(DatasetLinks,0,0,1),0),"Experimental method ", ExperimentalMethodLookup, 1)),"#",MINDS!$C$19&amp;".A.e."&amp;"#")&amp;"|"&amp;SUBSTITUTE(TEXTJOINARRAY("|",TRUE,FINDLINKS(DatasetLinks,MATCH("Dataset "&amp;MINDS!DI$55,OFFSET(DatasetLinks,0,0,1),0),"Analysis method ", AnalysisMethodLookup, 1)),"#",MINDS!$C$19&amp;".A.a."&amp;"#"))</f>
        <v/>
      </c>
      <c r="DJ43" s="2" t="str">
        <f ca="1">IF(DJ$41="","",SUBSTITUTE(TEXTJOINARRAY("|",TRUE,FINDLINKS(DatasetLinks,MATCH("Dataset "&amp;MINDS!DJ$55,OFFSET(DatasetLinks,0,0,1),0),"Experimental method ", ExperimentalMethodLookup, 1)),"#",MINDS!$C$19&amp;".A.e."&amp;"#")&amp;"|"&amp;SUBSTITUTE(TEXTJOINARRAY("|",TRUE,FINDLINKS(DatasetLinks,MATCH("Dataset "&amp;MINDS!DJ$55,OFFSET(DatasetLinks,0,0,1),0),"Analysis method ", AnalysisMethodLookup, 1)),"#",MINDS!$C$19&amp;".A.a."&amp;"#"))</f>
        <v/>
      </c>
      <c r="DK43" s="2" t="str">
        <f ca="1">IF(DK$41="","",SUBSTITUTE(TEXTJOINARRAY("|",TRUE,FINDLINKS(DatasetLinks,MATCH("Dataset "&amp;MINDS!DK$55,OFFSET(DatasetLinks,0,0,1),0),"Experimental method ", ExperimentalMethodLookup, 1)),"#",MINDS!$C$19&amp;".A.e."&amp;"#")&amp;"|"&amp;SUBSTITUTE(TEXTJOINARRAY("|",TRUE,FINDLINKS(DatasetLinks,MATCH("Dataset "&amp;MINDS!DK$55,OFFSET(DatasetLinks,0,0,1),0),"Analysis method ", AnalysisMethodLookup, 1)),"#",MINDS!$C$19&amp;".A.a."&amp;"#"))</f>
        <v/>
      </c>
      <c r="DL43" s="2" t="str">
        <f ca="1">IF(DL$41="","",SUBSTITUTE(TEXTJOINARRAY("|",TRUE,FINDLINKS(DatasetLinks,MATCH("Dataset "&amp;MINDS!DL$55,OFFSET(DatasetLinks,0,0,1),0),"Experimental method ", ExperimentalMethodLookup, 1)),"#",MINDS!$C$19&amp;".A.e."&amp;"#")&amp;"|"&amp;SUBSTITUTE(TEXTJOINARRAY("|",TRUE,FINDLINKS(DatasetLinks,MATCH("Dataset "&amp;MINDS!DL$55,OFFSET(DatasetLinks,0,0,1),0),"Analysis method ", AnalysisMethodLookup, 1)),"#",MINDS!$C$19&amp;".A.a."&amp;"#"))</f>
        <v/>
      </c>
      <c r="DM43" s="2" t="str">
        <f ca="1">IF(DM$41="","",SUBSTITUTE(TEXTJOINARRAY("|",TRUE,FINDLINKS(DatasetLinks,MATCH("Dataset "&amp;MINDS!DM$55,OFFSET(DatasetLinks,0,0,1),0),"Experimental method ", ExperimentalMethodLookup, 1)),"#",MINDS!$C$19&amp;".A.e."&amp;"#")&amp;"|"&amp;SUBSTITUTE(TEXTJOINARRAY("|",TRUE,FINDLINKS(DatasetLinks,MATCH("Dataset "&amp;MINDS!DM$55,OFFSET(DatasetLinks,0,0,1),0),"Analysis method ", AnalysisMethodLookup, 1)),"#",MINDS!$C$19&amp;".A.a."&amp;"#"))</f>
        <v/>
      </c>
      <c r="DN43" s="2" t="str">
        <f ca="1">IF(DN$41="","",SUBSTITUTE(TEXTJOINARRAY("|",TRUE,FINDLINKS(DatasetLinks,MATCH("Dataset "&amp;MINDS!DN$55,OFFSET(DatasetLinks,0,0,1),0),"Experimental method ", ExperimentalMethodLookup, 1)),"#",MINDS!$C$19&amp;".A.e."&amp;"#")&amp;"|"&amp;SUBSTITUTE(TEXTJOINARRAY("|",TRUE,FINDLINKS(DatasetLinks,MATCH("Dataset "&amp;MINDS!DN$55,OFFSET(DatasetLinks,0,0,1),0),"Analysis method ", AnalysisMethodLookup, 1)),"#",MINDS!$C$19&amp;".A.a."&amp;"#"))</f>
        <v/>
      </c>
      <c r="DO43" s="2" t="str">
        <f ca="1">IF(DO$41="","",SUBSTITUTE(TEXTJOINARRAY("|",TRUE,FINDLINKS(DatasetLinks,MATCH("Dataset "&amp;MINDS!DO$55,OFFSET(DatasetLinks,0,0,1),0),"Experimental method ", ExperimentalMethodLookup, 1)),"#",MINDS!$C$19&amp;".A.e."&amp;"#")&amp;"|"&amp;SUBSTITUTE(TEXTJOINARRAY("|",TRUE,FINDLINKS(DatasetLinks,MATCH("Dataset "&amp;MINDS!DO$55,OFFSET(DatasetLinks,0,0,1),0),"Analysis method ", AnalysisMethodLookup, 1)),"#",MINDS!$C$19&amp;".A.a."&amp;"#"))</f>
        <v/>
      </c>
      <c r="DP43" s="2" t="str">
        <f ca="1">IF(DP$41="","",SUBSTITUTE(TEXTJOINARRAY("|",TRUE,FINDLINKS(DatasetLinks,MATCH("Dataset "&amp;MINDS!DP$55,OFFSET(DatasetLinks,0,0,1),0),"Experimental method ", ExperimentalMethodLookup, 1)),"#",MINDS!$C$19&amp;".A.e."&amp;"#")&amp;"|"&amp;SUBSTITUTE(TEXTJOINARRAY("|",TRUE,FINDLINKS(DatasetLinks,MATCH("Dataset "&amp;MINDS!DP$55,OFFSET(DatasetLinks,0,0,1),0),"Analysis method ", AnalysisMethodLookup, 1)),"#",MINDS!$C$19&amp;".A.a."&amp;"#"))</f>
        <v/>
      </c>
      <c r="DQ43" s="2" t="str">
        <f ca="1">IF(DQ$41="","",SUBSTITUTE(TEXTJOINARRAY("|",TRUE,FINDLINKS(DatasetLinks,MATCH("Dataset "&amp;MINDS!DQ$55,OFFSET(DatasetLinks,0,0,1),0),"Experimental method ", ExperimentalMethodLookup, 1)),"#",MINDS!$C$19&amp;".A.e."&amp;"#")&amp;"|"&amp;SUBSTITUTE(TEXTJOINARRAY("|",TRUE,FINDLINKS(DatasetLinks,MATCH("Dataset "&amp;MINDS!DQ$55,OFFSET(DatasetLinks,0,0,1),0),"Analysis method ", AnalysisMethodLookup, 1)),"#",MINDS!$C$19&amp;".A.a."&amp;"#"))</f>
        <v/>
      </c>
      <c r="DR43" s="2" t="str">
        <f ca="1">IF(DR$41="","",SUBSTITUTE(TEXTJOINARRAY("|",TRUE,FINDLINKS(DatasetLinks,MATCH("Dataset "&amp;MINDS!DR$55,OFFSET(DatasetLinks,0,0,1),0),"Experimental method ", ExperimentalMethodLookup, 1)),"#",MINDS!$C$19&amp;".A.e."&amp;"#")&amp;"|"&amp;SUBSTITUTE(TEXTJOINARRAY("|",TRUE,FINDLINKS(DatasetLinks,MATCH("Dataset "&amp;MINDS!DR$55,OFFSET(DatasetLinks,0,0,1),0),"Analysis method ", AnalysisMethodLookup, 1)),"#",MINDS!$C$19&amp;".A.a."&amp;"#"))</f>
        <v/>
      </c>
      <c r="DS43" s="2" t="str">
        <f ca="1">IF(DS$41="","",SUBSTITUTE(TEXTJOINARRAY("|",TRUE,FINDLINKS(DatasetLinks,MATCH("Dataset "&amp;MINDS!DS$55,OFFSET(DatasetLinks,0,0,1),0),"Experimental method ", ExperimentalMethodLookup, 1)),"#",MINDS!$C$19&amp;".A.e."&amp;"#")&amp;"|"&amp;SUBSTITUTE(TEXTJOINARRAY("|",TRUE,FINDLINKS(DatasetLinks,MATCH("Dataset "&amp;MINDS!DS$55,OFFSET(DatasetLinks,0,0,1),0),"Analysis method ", AnalysisMethodLookup, 1)),"#",MINDS!$C$19&amp;".A.a."&amp;"#"))</f>
        <v/>
      </c>
      <c r="DT43" s="2" t="str">
        <f ca="1">IF(DT$41="","",SUBSTITUTE(TEXTJOINARRAY("|",TRUE,FINDLINKS(DatasetLinks,MATCH("Dataset "&amp;MINDS!DT$55,OFFSET(DatasetLinks,0,0,1),0),"Experimental method ", ExperimentalMethodLookup, 1)),"#",MINDS!$C$19&amp;".A.e."&amp;"#")&amp;"|"&amp;SUBSTITUTE(TEXTJOINARRAY("|",TRUE,FINDLINKS(DatasetLinks,MATCH("Dataset "&amp;MINDS!DT$55,OFFSET(DatasetLinks,0,0,1),0),"Analysis method ", AnalysisMethodLookup, 1)),"#",MINDS!$C$19&amp;".A.a."&amp;"#"))</f>
        <v/>
      </c>
      <c r="DU43" s="2" t="str">
        <f ca="1">IF(DU$41="","",SUBSTITUTE(TEXTJOINARRAY("|",TRUE,FINDLINKS(DatasetLinks,MATCH("Dataset "&amp;MINDS!DU$55,OFFSET(DatasetLinks,0,0,1),0),"Experimental method ", ExperimentalMethodLookup, 1)),"#",MINDS!$C$19&amp;".A.e."&amp;"#")&amp;"|"&amp;SUBSTITUTE(TEXTJOINARRAY("|",TRUE,FINDLINKS(DatasetLinks,MATCH("Dataset "&amp;MINDS!DU$55,OFFSET(DatasetLinks,0,0,1),0),"Analysis method ", AnalysisMethodLookup, 1)),"#",MINDS!$C$19&amp;".A.a."&amp;"#"))</f>
        <v/>
      </c>
      <c r="DV43" s="2" t="str">
        <f ca="1">IF(DV$41="","",SUBSTITUTE(TEXTJOINARRAY("|",TRUE,FINDLINKS(DatasetLinks,MATCH("Dataset "&amp;MINDS!DV$55,OFFSET(DatasetLinks,0,0,1),0),"Experimental method ", ExperimentalMethodLookup, 1)),"#",MINDS!$C$19&amp;".A.e."&amp;"#")&amp;"|"&amp;SUBSTITUTE(TEXTJOINARRAY("|",TRUE,FINDLINKS(DatasetLinks,MATCH("Dataset "&amp;MINDS!DV$55,OFFSET(DatasetLinks,0,0,1),0),"Analysis method ", AnalysisMethodLookup, 1)),"#",MINDS!$C$19&amp;".A.a."&amp;"#"))</f>
        <v/>
      </c>
      <c r="DW43" s="2" t="str">
        <f ca="1">IF(DW$41="","",SUBSTITUTE(TEXTJOINARRAY("|",TRUE,FINDLINKS(DatasetLinks,MATCH("Dataset "&amp;MINDS!DW$55,OFFSET(DatasetLinks,0,0,1),0),"Experimental method ", ExperimentalMethodLookup, 1)),"#",MINDS!$C$19&amp;".A.e."&amp;"#")&amp;"|"&amp;SUBSTITUTE(TEXTJOINARRAY("|",TRUE,FINDLINKS(DatasetLinks,MATCH("Dataset "&amp;MINDS!DW$55,OFFSET(DatasetLinks,0,0,1),0),"Analysis method ", AnalysisMethodLookup, 1)),"#",MINDS!$C$19&amp;".A.a."&amp;"#"))</f>
        <v/>
      </c>
      <c r="DX43" s="2" t="str">
        <f ca="1">IF(DX$41="","",SUBSTITUTE(TEXTJOINARRAY("|",TRUE,FINDLINKS(DatasetLinks,MATCH("Dataset "&amp;MINDS!DX$55,OFFSET(DatasetLinks,0,0,1),0),"Experimental method ", ExperimentalMethodLookup, 1)),"#",MINDS!$C$19&amp;".A.e."&amp;"#")&amp;"|"&amp;SUBSTITUTE(TEXTJOINARRAY("|",TRUE,FINDLINKS(DatasetLinks,MATCH("Dataset "&amp;MINDS!DX$55,OFFSET(DatasetLinks,0,0,1),0),"Analysis method ", AnalysisMethodLookup, 1)),"#",MINDS!$C$19&amp;".A.a."&amp;"#"))</f>
        <v/>
      </c>
      <c r="DY43" s="2" t="str">
        <f ca="1">IF(DY$41="","",SUBSTITUTE(TEXTJOINARRAY("|",TRUE,FINDLINKS(DatasetLinks,MATCH("Dataset "&amp;MINDS!DY$55,OFFSET(DatasetLinks,0,0,1),0),"Experimental method ", ExperimentalMethodLookup, 1)),"#",MINDS!$C$19&amp;".A.e."&amp;"#")&amp;"|"&amp;SUBSTITUTE(TEXTJOINARRAY("|",TRUE,FINDLINKS(DatasetLinks,MATCH("Dataset "&amp;MINDS!DY$55,OFFSET(DatasetLinks,0,0,1),0),"Analysis method ", AnalysisMethodLookup, 1)),"#",MINDS!$C$19&amp;".A.a."&amp;"#"))</f>
        <v/>
      </c>
      <c r="DZ43" s="2" t="str">
        <f ca="1">IF(DZ$41="","",SUBSTITUTE(TEXTJOINARRAY("|",TRUE,FINDLINKS(DatasetLinks,MATCH("Dataset "&amp;MINDS!DZ$55,OFFSET(DatasetLinks,0,0,1),0),"Experimental method ", ExperimentalMethodLookup, 1)),"#",MINDS!$C$19&amp;".A.e."&amp;"#")&amp;"|"&amp;SUBSTITUTE(TEXTJOINARRAY("|",TRUE,FINDLINKS(DatasetLinks,MATCH("Dataset "&amp;MINDS!DZ$55,OFFSET(DatasetLinks,0,0,1),0),"Analysis method ", AnalysisMethodLookup, 1)),"#",MINDS!$C$19&amp;".A.a."&amp;"#"))</f>
        <v/>
      </c>
      <c r="EA43" s="2" t="str">
        <f ca="1">IF(EA$41="","",SUBSTITUTE(TEXTJOINARRAY("|",TRUE,FINDLINKS(DatasetLinks,MATCH("Dataset "&amp;MINDS!EA$55,OFFSET(DatasetLinks,0,0,1),0),"Experimental method ", ExperimentalMethodLookup, 1)),"#",MINDS!$C$19&amp;".A.e."&amp;"#")&amp;"|"&amp;SUBSTITUTE(TEXTJOINARRAY("|",TRUE,FINDLINKS(DatasetLinks,MATCH("Dataset "&amp;MINDS!EA$55,OFFSET(DatasetLinks,0,0,1),0),"Analysis method ", AnalysisMethodLookup, 1)),"#",MINDS!$C$19&amp;".A.a."&amp;"#"))</f>
        <v/>
      </c>
      <c r="EB43" s="2" t="str">
        <f ca="1">IF(EB$41="","",SUBSTITUTE(TEXTJOINARRAY("|",TRUE,FINDLINKS(DatasetLinks,MATCH("Dataset "&amp;MINDS!EB$55,OFFSET(DatasetLinks,0,0,1),0),"Experimental method ", ExperimentalMethodLookup, 1)),"#",MINDS!$C$19&amp;".A.e."&amp;"#")&amp;"|"&amp;SUBSTITUTE(TEXTJOINARRAY("|",TRUE,FINDLINKS(DatasetLinks,MATCH("Dataset "&amp;MINDS!EB$55,OFFSET(DatasetLinks,0,0,1),0),"Analysis method ", AnalysisMethodLookup, 1)),"#",MINDS!$C$19&amp;".A.a."&amp;"#"))</f>
        <v/>
      </c>
      <c r="EC43" s="2" t="str">
        <f ca="1">IF(EC$41="","",SUBSTITUTE(TEXTJOINARRAY("|",TRUE,FINDLINKS(DatasetLinks,MATCH("Dataset "&amp;MINDS!EC$55,OFFSET(DatasetLinks,0,0,1),0),"Experimental method ", ExperimentalMethodLookup, 1)),"#",MINDS!$C$19&amp;".A.e."&amp;"#")&amp;"|"&amp;SUBSTITUTE(TEXTJOINARRAY("|",TRUE,FINDLINKS(DatasetLinks,MATCH("Dataset "&amp;MINDS!EC$55,OFFSET(DatasetLinks,0,0,1),0),"Analysis method ", AnalysisMethodLookup, 1)),"#",MINDS!$C$19&amp;".A.a."&amp;"#"))</f>
        <v/>
      </c>
      <c r="ED43" s="2" t="str">
        <f ca="1">IF(ED$41="","",SUBSTITUTE(TEXTJOINARRAY("|",TRUE,FINDLINKS(DatasetLinks,MATCH("Dataset "&amp;MINDS!ED$55,OFFSET(DatasetLinks,0,0,1),0),"Experimental method ", ExperimentalMethodLookup, 1)),"#",MINDS!$C$19&amp;".A.e."&amp;"#")&amp;"|"&amp;SUBSTITUTE(TEXTJOINARRAY("|",TRUE,FINDLINKS(DatasetLinks,MATCH("Dataset "&amp;MINDS!ED$55,OFFSET(DatasetLinks,0,0,1),0),"Analysis method ", AnalysisMethodLookup, 1)),"#",MINDS!$C$19&amp;".A.a."&amp;"#"))</f>
        <v/>
      </c>
      <c r="EE43" s="2" t="str">
        <f ca="1">IF(EE$41="","",SUBSTITUTE(TEXTJOINARRAY("|",TRUE,FINDLINKS(DatasetLinks,MATCH("Dataset "&amp;MINDS!EE$55,OFFSET(DatasetLinks,0,0,1),0),"Experimental method ", ExperimentalMethodLookup, 1)),"#",MINDS!$C$19&amp;".A.e."&amp;"#")&amp;"|"&amp;SUBSTITUTE(TEXTJOINARRAY("|",TRUE,FINDLINKS(DatasetLinks,MATCH("Dataset "&amp;MINDS!EE$55,OFFSET(DatasetLinks,0,0,1),0),"Analysis method ", AnalysisMethodLookup, 1)),"#",MINDS!$C$19&amp;".A.a."&amp;"#"))</f>
        <v/>
      </c>
      <c r="EF43" s="2" t="str">
        <f ca="1">IF(EF$41="","",SUBSTITUTE(TEXTJOINARRAY("|",TRUE,FINDLINKS(DatasetLinks,MATCH("Dataset "&amp;MINDS!EF$55,OFFSET(DatasetLinks,0,0,1),0),"Experimental method ", ExperimentalMethodLookup, 1)),"#",MINDS!$C$19&amp;".A.e."&amp;"#")&amp;"|"&amp;SUBSTITUTE(TEXTJOINARRAY("|",TRUE,FINDLINKS(DatasetLinks,MATCH("Dataset "&amp;MINDS!EF$55,OFFSET(DatasetLinks,0,0,1),0),"Analysis method ", AnalysisMethodLookup, 1)),"#",MINDS!$C$19&amp;".A.a."&amp;"#"))</f>
        <v/>
      </c>
      <c r="EG43" s="2" t="str">
        <f ca="1">IF(EG$41="","",SUBSTITUTE(TEXTJOINARRAY("|",TRUE,FINDLINKS(DatasetLinks,MATCH("Dataset "&amp;MINDS!EG$55,OFFSET(DatasetLinks,0,0,1),0),"Experimental method ", ExperimentalMethodLookup, 1)),"#",MINDS!$C$19&amp;".A.e."&amp;"#")&amp;"|"&amp;SUBSTITUTE(TEXTJOINARRAY("|",TRUE,FINDLINKS(DatasetLinks,MATCH("Dataset "&amp;MINDS!EG$55,OFFSET(DatasetLinks,0,0,1),0),"Analysis method ", AnalysisMethodLookup, 1)),"#",MINDS!$C$19&amp;".A.a."&amp;"#"))</f>
        <v/>
      </c>
      <c r="EH43" s="2" t="str">
        <f ca="1">IF(EH$41="","",SUBSTITUTE(TEXTJOINARRAY("|",TRUE,FINDLINKS(DatasetLinks,MATCH("Dataset "&amp;MINDS!EH$55,OFFSET(DatasetLinks,0,0,1),0),"Experimental method ", ExperimentalMethodLookup, 1)),"#",MINDS!$C$19&amp;".A.e."&amp;"#")&amp;"|"&amp;SUBSTITUTE(TEXTJOINARRAY("|",TRUE,FINDLINKS(DatasetLinks,MATCH("Dataset "&amp;MINDS!EH$55,OFFSET(DatasetLinks,0,0,1),0),"Analysis method ", AnalysisMethodLookup, 1)),"#",MINDS!$C$19&amp;".A.a."&amp;"#"))</f>
        <v/>
      </c>
      <c r="EI43" s="2" t="str">
        <f ca="1">IF(EI$41="","",SUBSTITUTE(TEXTJOINARRAY("|",TRUE,FINDLINKS(DatasetLinks,MATCH("Dataset "&amp;MINDS!EI$55,OFFSET(DatasetLinks,0,0,1),0),"Experimental method ", ExperimentalMethodLookup, 1)),"#",MINDS!$C$19&amp;".A.e."&amp;"#")&amp;"|"&amp;SUBSTITUTE(TEXTJOINARRAY("|",TRUE,FINDLINKS(DatasetLinks,MATCH("Dataset "&amp;MINDS!EI$55,OFFSET(DatasetLinks,0,0,1),0),"Analysis method ", AnalysisMethodLookup, 1)),"#",MINDS!$C$19&amp;".A.a."&amp;"#"))</f>
        <v/>
      </c>
      <c r="EJ43" s="2" t="str">
        <f ca="1">IF(EJ$41="","",SUBSTITUTE(TEXTJOINARRAY("|",TRUE,FINDLINKS(DatasetLinks,MATCH("Dataset "&amp;MINDS!EJ$55,OFFSET(DatasetLinks,0,0,1),0),"Experimental method ", ExperimentalMethodLookup, 1)),"#",MINDS!$C$19&amp;".A.e."&amp;"#")&amp;"|"&amp;SUBSTITUTE(TEXTJOINARRAY("|",TRUE,FINDLINKS(DatasetLinks,MATCH("Dataset "&amp;MINDS!EJ$55,OFFSET(DatasetLinks,0,0,1),0),"Analysis method ", AnalysisMethodLookup, 1)),"#",MINDS!$C$19&amp;".A.a."&amp;"#"))</f>
        <v/>
      </c>
      <c r="EK43" s="2" t="str">
        <f ca="1">IF(EK$41="","",SUBSTITUTE(TEXTJOINARRAY("|",TRUE,FINDLINKS(DatasetLinks,MATCH("Dataset "&amp;MINDS!EK$55,OFFSET(DatasetLinks,0,0,1),0),"Experimental method ", ExperimentalMethodLookup, 1)),"#",MINDS!$C$19&amp;".A.e."&amp;"#")&amp;"|"&amp;SUBSTITUTE(TEXTJOINARRAY("|",TRUE,FINDLINKS(DatasetLinks,MATCH("Dataset "&amp;MINDS!EK$55,OFFSET(DatasetLinks,0,0,1),0),"Analysis method ", AnalysisMethodLookup, 1)),"#",MINDS!$C$19&amp;".A.a."&amp;"#"))</f>
        <v/>
      </c>
      <c r="EL43" s="2" t="str">
        <f ca="1">IF(EL$41="","",SUBSTITUTE(TEXTJOINARRAY("|",TRUE,FINDLINKS(DatasetLinks,MATCH("Dataset "&amp;MINDS!EL$55,OFFSET(DatasetLinks,0,0,1),0),"Experimental method ", ExperimentalMethodLookup, 1)),"#",MINDS!$C$19&amp;".A.e."&amp;"#")&amp;"|"&amp;SUBSTITUTE(TEXTJOINARRAY("|",TRUE,FINDLINKS(DatasetLinks,MATCH("Dataset "&amp;MINDS!EL$55,OFFSET(DatasetLinks,0,0,1),0),"Analysis method ", AnalysisMethodLookup, 1)),"#",MINDS!$C$19&amp;".A.a."&amp;"#"))</f>
        <v/>
      </c>
      <c r="EM43" s="2" t="str">
        <f ca="1">IF(EM$41="","",SUBSTITUTE(TEXTJOINARRAY("|",TRUE,FINDLINKS(DatasetLinks,MATCH("Dataset "&amp;MINDS!EM$55,OFFSET(DatasetLinks,0,0,1),0),"Experimental method ", ExperimentalMethodLookup, 1)),"#",MINDS!$C$19&amp;".A.e."&amp;"#")&amp;"|"&amp;SUBSTITUTE(TEXTJOINARRAY("|",TRUE,FINDLINKS(DatasetLinks,MATCH("Dataset "&amp;MINDS!EM$55,OFFSET(DatasetLinks,0,0,1),0),"Analysis method ", AnalysisMethodLookup, 1)),"#",MINDS!$C$19&amp;".A.a."&amp;"#"))</f>
        <v/>
      </c>
      <c r="EN43" s="2" t="str">
        <f ca="1">IF(EN$41="","",SUBSTITUTE(TEXTJOINARRAY("|",TRUE,FINDLINKS(DatasetLinks,MATCH("Dataset "&amp;MINDS!EN$55,OFFSET(DatasetLinks,0,0,1),0),"Experimental method ", ExperimentalMethodLookup, 1)),"#",MINDS!$C$19&amp;".A.e."&amp;"#")&amp;"|"&amp;SUBSTITUTE(TEXTJOINARRAY("|",TRUE,FINDLINKS(DatasetLinks,MATCH("Dataset "&amp;MINDS!EN$55,OFFSET(DatasetLinks,0,0,1),0),"Analysis method ", AnalysisMethodLookup, 1)),"#",MINDS!$C$19&amp;".A.a."&amp;"#"))</f>
        <v/>
      </c>
      <c r="EO43" s="2" t="str">
        <f ca="1">IF(EO$41="","",SUBSTITUTE(TEXTJOINARRAY("|",TRUE,FINDLINKS(DatasetLinks,MATCH("Dataset "&amp;MINDS!EO$55,OFFSET(DatasetLinks,0,0,1),0),"Experimental method ", ExperimentalMethodLookup, 1)),"#",MINDS!$C$19&amp;".A.e."&amp;"#")&amp;"|"&amp;SUBSTITUTE(TEXTJOINARRAY("|",TRUE,FINDLINKS(DatasetLinks,MATCH("Dataset "&amp;MINDS!EO$55,OFFSET(DatasetLinks,0,0,1),0),"Analysis method ", AnalysisMethodLookup, 1)),"#",MINDS!$C$19&amp;".A.a."&amp;"#"))</f>
        <v/>
      </c>
      <c r="EP43" s="2" t="str">
        <f ca="1">IF(EP$41="","",SUBSTITUTE(TEXTJOINARRAY("|",TRUE,FINDLINKS(DatasetLinks,MATCH("Dataset "&amp;MINDS!EP$55,OFFSET(DatasetLinks,0,0,1),0),"Experimental method ", ExperimentalMethodLookup, 1)),"#",MINDS!$C$19&amp;".A.e."&amp;"#")&amp;"|"&amp;SUBSTITUTE(TEXTJOINARRAY("|",TRUE,FINDLINKS(DatasetLinks,MATCH("Dataset "&amp;MINDS!EP$55,OFFSET(DatasetLinks,0,0,1),0),"Analysis method ", AnalysisMethodLookup, 1)),"#",MINDS!$C$19&amp;".A.a."&amp;"#"))</f>
        <v/>
      </c>
      <c r="EQ43" s="2" t="str">
        <f ca="1">IF(EQ$41="","",SUBSTITUTE(TEXTJOINARRAY("|",TRUE,FINDLINKS(DatasetLinks,MATCH("Dataset "&amp;MINDS!EQ$55,OFFSET(DatasetLinks,0,0,1),0),"Experimental method ", ExperimentalMethodLookup, 1)),"#",MINDS!$C$19&amp;".A.e."&amp;"#")&amp;"|"&amp;SUBSTITUTE(TEXTJOINARRAY("|",TRUE,FINDLINKS(DatasetLinks,MATCH("Dataset "&amp;MINDS!EQ$55,OFFSET(DatasetLinks,0,0,1),0),"Analysis method ", AnalysisMethodLookup, 1)),"#",MINDS!$C$19&amp;".A.a."&amp;"#"))</f>
        <v/>
      </c>
      <c r="ER43" s="2" t="str">
        <f ca="1">IF(ER$41="","",SUBSTITUTE(TEXTJOINARRAY("|",TRUE,FINDLINKS(DatasetLinks,MATCH("Dataset "&amp;MINDS!ER$55,OFFSET(DatasetLinks,0,0,1),0),"Experimental method ", ExperimentalMethodLookup, 1)),"#",MINDS!$C$19&amp;".A.e."&amp;"#")&amp;"|"&amp;SUBSTITUTE(TEXTJOINARRAY("|",TRUE,FINDLINKS(DatasetLinks,MATCH("Dataset "&amp;MINDS!ER$55,OFFSET(DatasetLinks,0,0,1),0),"Analysis method ", AnalysisMethodLookup, 1)),"#",MINDS!$C$19&amp;".A.a."&amp;"#"))</f>
        <v/>
      </c>
      <c r="ES43" s="2" t="str">
        <f ca="1">IF(ES$41="","",SUBSTITUTE(TEXTJOINARRAY("|",TRUE,FINDLINKS(DatasetLinks,MATCH("Dataset "&amp;MINDS!ES$55,OFFSET(DatasetLinks,0,0,1),0),"Experimental method ", ExperimentalMethodLookup, 1)),"#",MINDS!$C$19&amp;".A.e."&amp;"#")&amp;"|"&amp;SUBSTITUTE(TEXTJOINARRAY("|",TRUE,FINDLINKS(DatasetLinks,MATCH("Dataset "&amp;MINDS!ES$55,OFFSET(DatasetLinks,0,0,1),0),"Analysis method ", AnalysisMethodLookup, 1)),"#",MINDS!$C$19&amp;".A.a."&amp;"#"))</f>
        <v/>
      </c>
      <c r="ET43" s="2" t="str">
        <f ca="1">IF(ET$41="","",SUBSTITUTE(TEXTJOINARRAY("|",TRUE,FINDLINKS(DatasetLinks,MATCH("Dataset "&amp;MINDS!ET$55,OFFSET(DatasetLinks,0,0,1),0),"Experimental method ", ExperimentalMethodLookup, 1)),"#",MINDS!$C$19&amp;".A.e."&amp;"#")&amp;"|"&amp;SUBSTITUTE(TEXTJOINARRAY("|",TRUE,FINDLINKS(DatasetLinks,MATCH("Dataset "&amp;MINDS!ET$55,OFFSET(DatasetLinks,0,0,1),0),"Analysis method ", AnalysisMethodLookup, 1)),"#",MINDS!$C$19&amp;".A.a."&amp;"#"))</f>
        <v/>
      </c>
      <c r="EU43" s="2" t="str">
        <f ca="1">IF(EU$41="","",SUBSTITUTE(TEXTJOINARRAY("|",TRUE,FINDLINKS(DatasetLinks,MATCH("Dataset "&amp;MINDS!EU$55,OFFSET(DatasetLinks,0,0,1),0),"Experimental method ", ExperimentalMethodLookup, 1)),"#",MINDS!$C$19&amp;".A.e."&amp;"#")&amp;"|"&amp;SUBSTITUTE(TEXTJOINARRAY("|",TRUE,FINDLINKS(DatasetLinks,MATCH("Dataset "&amp;MINDS!EU$55,OFFSET(DatasetLinks,0,0,1),0),"Analysis method ", AnalysisMethodLookup, 1)),"#",MINDS!$C$19&amp;".A.a."&amp;"#"))</f>
        <v/>
      </c>
      <c r="EV43" s="2" t="str">
        <f ca="1">IF(EV$41="","",SUBSTITUTE(TEXTJOINARRAY("|",TRUE,FINDLINKS(DatasetLinks,MATCH("Dataset "&amp;MINDS!EV$55,OFFSET(DatasetLinks,0,0,1),0),"Experimental method ", ExperimentalMethodLookup, 1)),"#",MINDS!$C$19&amp;".A.e."&amp;"#")&amp;"|"&amp;SUBSTITUTE(TEXTJOINARRAY("|",TRUE,FINDLINKS(DatasetLinks,MATCH("Dataset "&amp;MINDS!EV$55,OFFSET(DatasetLinks,0,0,1),0),"Analysis method ", AnalysisMethodLookup, 1)),"#",MINDS!$C$19&amp;".A.a."&amp;"#"))</f>
        <v/>
      </c>
      <c r="EW43" s="2" t="str">
        <f ca="1">IF(EW$41="","",SUBSTITUTE(TEXTJOINARRAY("|",TRUE,FINDLINKS(DatasetLinks,MATCH("Dataset "&amp;MINDS!EW$55,OFFSET(DatasetLinks,0,0,1),0),"Experimental method ", ExperimentalMethodLookup, 1)),"#",MINDS!$C$19&amp;".A.e."&amp;"#")&amp;"|"&amp;SUBSTITUTE(TEXTJOINARRAY("|",TRUE,FINDLINKS(DatasetLinks,MATCH("Dataset "&amp;MINDS!EW$55,OFFSET(DatasetLinks,0,0,1),0),"Analysis method ", AnalysisMethodLookup, 1)),"#",MINDS!$C$19&amp;".A.a."&amp;"#"))</f>
        <v/>
      </c>
      <c r="EX43" s="2" t="str">
        <f ca="1">IF(EX$41="","",SUBSTITUTE(TEXTJOINARRAY("|",TRUE,FINDLINKS(DatasetLinks,MATCH("Dataset "&amp;MINDS!EX$55,OFFSET(DatasetLinks,0,0,1),0),"Experimental method ", ExperimentalMethodLookup, 1)),"#",MINDS!$C$19&amp;".A.e."&amp;"#")&amp;"|"&amp;SUBSTITUTE(TEXTJOINARRAY("|",TRUE,FINDLINKS(DatasetLinks,MATCH("Dataset "&amp;MINDS!EX$55,OFFSET(DatasetLinks,0,0,1),0),"Analysis method ", AnalysisMethodLookup, 1)),"#",MINDS!$C$19&amp;".A.a."&amp;"#"))</f>
        <v/>
      </c>
      <c r="EY43" s="2" t="str">
        <f ca="1">IF(EY$41="","",SUBSTITUTE(TEXTJOINARRAY("|",TRUE,FINDLINKS(DatasetLinks,MATCH("Dataset "&amp;MINDS!EY$55,OFFSET(DatasetLinks,0,0,1),0),"Experimental method ", ExperimentalMethodLookup, 1)),"#",MINDS!$C$19&amp;".A.e."&amp;"#")&amp;"|"&amp;SUBSTITUTE(TEXTJOINARRAY("|",TRUE,FINDLINKS(DatasetLinks,MATCH("Dataset "&amp;MINDS!EY$55,OFFSET(DatasetLinks,0,0,1),0),"Analysis method ", AnalysisMethodLookup, 1)),"#",MINDS!$C$19&amp;".A.a."&amp;"#"))</f>
        <v/>
      </c>
      <c r="EZ43" s="2" t="str">
        <f ca="1">IF(EZ$41="","",SUBSTITUTE(TEXTJOINARRAY("|",TRUE,FINDLINKS(DatasetLinks,MATCH("Dataset "&amp;MINDS!EZ$55,OFFSET(DatasetLinks,0,0,1),0),"Experimental method ", ExperimentalMethodLookup, 1)),"#",MINDS!$C$19&amp;".A.e."&amp;"#")&amp;"|"&amp;SUBSTITUTE(TEXTJOINARRAY("|",TRUE,FINDLINKS(DatasetLinks,MATCH("Dataset "&amp;MINDS!EZ$55,OFFSET(DatasetLinks,0,0,1),0),"Analysis method ", AnalysisMethodLookup, 1)),"#",MINDS!$C$19&amp;".A.a."&amp;"#"))</f>
        <v/>
      </c>
      <c r="FA43" s="2" t="str">
        <f ca="1">IF(FA$41="","",SUBSTITUTE(TEXTJOINARRAY("|",TRUE,FINDLINKS(DatasetLinks,MATCH("Dataset "&amp;MINDS!FA$55,OFFSET(DatasetLinks,0,0,1),0),"Experimental method ", ExperimentalMethodLookup, 1)),"#",MINDS!$C$19&amp;".A.e."&amp;"#")&amp;"|"&amp;SUBSTITUTE(TEXTJOINARRAY("|",TRUE,FINDLINKS(DatasetLinks,MATCH("Dataset "&amp;MINDS!FA$55,OFFSET(DatasetLinks,0,0,1),0),"Analysis method ", AnalysisMethodLookup, 1)),"#",MINDS!$C$19&amp;".A.a."&amp;"#"))</f>
        <v/>
      </c>
      <c r="FB43" s="2" t="str">
        <f ca="1">IF(FB$41="","",SUBSTITUTE(TEXTJOINARRAY("|",TRUE,FINDLINKS(DatasetLinks,MATCH("Dataset "&amp;MINDS!FB$55,OFFSET(DatasetLinks,0,0,1),0),"Experimental method ", ExperimentalMethodLookup, 1)),"#",MINDS!$C$19&amp;".A.e."&amp;"#")&amp;"|"&amp;SUBSTITUTE(TEXTJOINARRAY("|",TRUE,FINDLINKS(DatasetLinks,MATCH("Dataset "&amp;MINDS!FB$55,OFFSET(DatasetLinks,0,0,1),0),"Analysis method ", AnalysisMethodLookup, 1)),"#",MINDS!$C$19&amp;".A.a."&amp;"#"))</f>
        <v/>
      </c>
      <c r="FC43" s="2" t="str">
        <f ca="1">IF(FC$41="","",SUBSTITUTE(TEXTJOINARRAY("|",TRUE,FINDLINKS(DatasetLinks,MATCH("Dataset "&amp;MINDS!FC$55,OFFSET(DatasetLinks,0,0,1),0),"Experimental method ", ExperimentalMethodLookup, 1)),"#",MINDS!$C$19&amp;".A.e."&amp;"#")&amp;"|"&amp;SUBSTITUTE(TEXTJOINARRAY("|",TRUE,FINDLINKS(DatasetLinks,MATCH("Dataset "&amp;MINDS!FC$55,OFFSET(DatasetLinks,0,0,1),0),"Analysis method ", AnalysisMethodLookup, 1)),"#",MINDS!$C$19&amp;".A.a."&amp;"#"))</f>
        <v/>
      </c>
      <c r="FD43" s="2" t="str">
        <f ca="1">IF(FD$41="","",SUBSTITUTE(TEXTJOINARRAY("|",TRUE,FINDLINKS(DatasetLinks,MATCH("Dataset "&amp;MINDS!FD$55,OFFSET(DatasetLinks,0,0,1),0),"Experimental method ", ExperimentalMethodLookup, 1)),"#",MINDS!$C$19&amp;".A.e."&amp;"#")&amp;"|"&amp;SUBSTITUTE(TEXTJOINARRAY("|",TRUE,FINDLINKS(DatasetLinks,MATCH("Dataset "&amp;MINDS!FD$55,OFFSET(DatasetLinks,0,0,1),0),"Analysis method ", AnalysisMethodLookup, 1)),"#",MINDS!$C$19&amp;".A.a."&amp;"#"))</f>
        <v/>
      </c>
      <c r="FE43" s="2" t="str">
        <f ca="1">IF(FE$41="","",SUBSTITUTE(TEXTJOINARRAY("|",TRUE,FINDLINKS(DatasetLinks,MATCH("Dataset "&amp;MINDS!FE$55,OFFSET(DatasetLinks,0,0,1),0),"Experimental method ", ExperimentalMethodLookup, 1)),"#",MINDS!$C$19&amp;".A.e."&amp;"#")&amp;"|"&amp;SUBSTITUTE(TEXTJOINARRAY("|",TRUE,FINDLINKS(DatasetLinks,MATCH("Dataset "&amp;MINDS!FE$55,OFFSET(DatasetLinks,0,0,1),0),"Analysis method ", AnalysisMethodLookup, 1)),"#",MINDS!$C$19&amp;".A.a."&amp;"#"))</f>
        <v/>
      </c>
      <c r="FF43" s="2" t="str">
        <f ca="1">IF(FF$41="","",SUBSTITUTE(TEXTJOINARRAY("|",TRUE,FINDLINKS(DatasetLinks,MATCH("Dataset "&amp;MINDS!FF$55,OFFSET(DatasetLinks,0,0,1),0),"Experimental method ", ExperimentalMethodLookup, 1)),"#",MINDS!$C$19&amp;".A.e."&amp;"#")&amp;"|"&amp;SUBSTITUTE(TEXTJOINARRAY("|",TRUE,FINDLINKS(DatasetLinks,MATCH("Dataset "&amp;MINDS!FF$55,OFFSET(DatasetLinks,0,0,1),0),"Analysis method ", AnalysisMethodLookup, 1)),"#",MINDS!$C$19&amp;".A.a."&amp;"#"))</f>
        <v/>
      </c>
      <c r="FG43" s="2" t="str">
        <f ca="1">IF(FG$41="","",SUBSTITUTE(TEXTJOINARRAY("|",TRUE,FINDLINKS(DatasetLinks,MATCH("Dataset "&amp;MINDS!FG$55,OFFSET(DatasetLinks,0,0,1),0),"Experimental method ", ExperimentalMethodLookup, 1)),"#",MINDS!$C$19&amp;".A.e."&amp;"#")&amp;"|"&amp;SUBSTITUTE(TEXTJOINARRAY("|",TRUE,FINDLINKS(DatasetLinks,MATCH("Dataset "&amp;MINDS!FG$55,OFFSET(DatasetLinks,0,0,1),0),"Analysis method ", AnalysisMethodLookup, 1)),"#",MINDS!$C$19&amp;".A.a."&amp;"#"))</f>
        <v/>
      </c>
      <c r="FH43" s="2" t="str">
        <f ca="1">IF(FH$41="","",SUBSTITUTE(TEXTJOINARRAY("|",TRUE,FINDLINKS(DatasetLinks,MATCH("Dataset "&amp;MINDS!FH$55,OFFSET(DatasetLinks,0,0,1),0),"Experimental method ", ExperimentalMethodLookup, 1)),"#",MINDS!$C$19&amp;".A.e."&amp;"#")&amp;"|"&amp;SUBSTITUTE(TEXTJOINARRAY("|",TRUE,FINDLINKS(DatasetLinks,MATCH("Dataset "&amp;MINDS!FH$55,OFFSET(DatasetLinks,0,0,1),0),"Analysis method ", AnalysisMethodLookup, 1)),"#",MINDS!$C$19&amp;".A.a."&amp;"#"))</f>
        <v/>
      </c>
      <c r="FI43" s="2" t="str">
        <f ca="1">IF(FI$41="","",SUBSTITUTE(TEXTJOINARRAY("|",TRUE,FINDLINKS(DatasetLinks,MATCH("Dataset "&amp;MINDS!FI$55,OFFSET(DatasetLinks,0,0,1),0),"Experimental method ", ExperimentalMethodLookup, 1)),"#",MINDS!$C$19&amp;".A.e."&amp;"#")&amp;"|"&amp;SUBSTITUTE(TEXTJOINARRAY("|",TRUE,FINDLINKS(DatasetLinks,MATCH("Dataset "&amp;MINDS!FI$55,OFFSET(DatasetLinks,0,0,1),0),"Analysis method ", AnalysisMethodLookup, 1)),"#",MINDS!$C$19&amp;".A.a."&amp;"#"))</f>
        <v/>
      </c>
      <c r="FJ43" s="2" t="str">
        <f ca="1">IF(FJ$41="","",SUBSTITUTE(TEXTJOINARRAY("|",TRUE,FINDLINKS(DatasetLinks,MATCH("Dataset "&amp;MINDS!FJ$55,OFFSET(DatasetLinks,0,0,1),0),"Experimental method ", ExperimentalMethodLookup, 1)),"#",MINDS!$C$19&amp;".A.e."&amp;"#")&amp;"|"&amp;SUBSTITUTE(TEXTJOINARRAY("|",TRUE,FINDLINKS(DatasetLinks,MATCH("Dataset "&amp;MINDS!FJ$55,OFFSET(DatasetLinks,0,0,1),0),"Analysis method ", AnalysisMethodLookup, 1)),"#",MINDS!$C$19&amp;".A.a."&amp;"#"))</f>
        <v/>
      </c>
      <c r="FK43" s="2" t="str">
        <f ca="1">IF(FK$41="","",SUBSTITUTE(TEXTJOINARRAY("|",TRUE,FINDLINKS(DatasetLinks,MATCH("Dataset "&amp;MINDS!FK$55,OFFSET(DatasetLinks,0,0,1),0),"Experimental method ", ExperimentalMethodLookup, 1)),"#",MINDS!$C$19&amp;".A.e."&amp;"#")&amp;"|"&amp;SUBSTITUTE(TEXTJOINARRAY("|",TRUE,FINDLINKS(DatasetLinks,MATCH("Dataset "&amp;MINDS!FK$55,OFFSET(DatasetLinks,0,0,1),0),"Analysis method ", AnalysisMethodLookup, 1)),"#",MINDS!$C$19&amp;".A.a."&amp;"#"))</f>
        <v/>
      </c>
      <c r="FL43" s="2" t="str">
        <f ca="1">IF(FL$41="","",SUBSTITUTE(TEXTJOINARRAY("|",TRUE,FINDLINKS(DatasetLinks,MATCH("Dataset "&amp;MINDS!FL$55,OFFSET(DatasetLinks,0,0,1),0),"Experimental method ", ExperimentalMethodLookup, 1)),"#",MINDS!$C$19&amp;".A.e."&amp;"#")&amp;"|"&amp;SUBSTITUTE(TEXTJOINARRAY("|",TRUE,FINDLINKS(DatasetLinks,MATCH("Dataset "&amp;MINDS!FL$55,OFFSET(DatasetLinks,0,0,1),0),"Analysis method ", AnalysisMethodLookup, 1)),"#",MINDS!$C$19&amp;".A.a."&amp;"#"))</f>
        <v/>
      </c>
      <c r="FM43" s="2" t="str">
        <f ca="1">IF(FM$41="","",SUBSTITUTE(TEXTJOINARRAY("|",TRUE,FINDLINKS(DatasetLinks,MATCH("Dataset "&amp;MINDS!FM$55,OFFSET(DatasetLinks,0,0,1),0),"Experimental method ", ExperimentalMethodLookup, 1)),"#",MINDS!$C$19&amp;".A.e."&amp;"#")&amp;"|"&amp;SUBSTITUTE(TEXTJOINARRAY("|",TRUE,FINDLINKS(DatasetLinks,MATCH("Dataset "&amp;MINDS!FM$55,OFFSET(DatasetLinks,0,0,1),0),"Analysis method ", AnalysisMethodLookup, 1)),"#",MINDS!$C$19&amp;".A.a."&amp;"#"))</f>
        <v/>
      </c>
      <c r="FN43" s="2" t="str">
        <f ca="1">IF(FN$41="","",SUBSTITUTE(TEXTJOINARRAY("|",TRUE,FINDLINKS(DatasetLinks,MATCH("Dataset "&amp;MINDS!FN$55,OFFSET(DatasetLinks,0,0,1),0),"Experimental method ", ExperimentalMethodLookup, 1)),"#",MINDS!$C$19&amp;".A.e."&amp;"#")&amp;"|"&amp;SUBSTITUTE(TEXTJOINARRAY("|",TRUE,FINDLINKS(DatasetLinks,MATCH("Dataset "&amp;MINDS!FN$55,OFFSET(DatasetLinks,0,0,1),0),"Analysis method ", AnalysisMethodLookup, 1)),"#",MINDS!$C$19&amp;".A.a."&amp;"#"))</f>
        <v/>
      </c>
      <c r="FO43" s="2" t="str">
        <f ca="1">IF(FO$41="","",SUBSTITUTE(TEXTJOINARRAY("|",TRUE,FINDLINKS(DatasetLinks,MATCH("Dataset "&amp;MINDS!FO$55,OFFSET(DatasetLinks,0,0,1),0),"Experimental method ", ExperimentalMethodLookup, 1)),"#",MINDS!$C$19&amp;".A.e."&amp;"#")&amp;"|"&amp;SUBSTITUTE(TEXTJOINARRAY("|",TRUE,FINDLINKS(DatasetLinks,MATCH("Dataset "&amp;MINDS!FO$55,OFFSET(DatasetLinks,0,0,1),0),"Analysis method ", AnalysisMethodLookup, 1)),"#",MINDS!$C$19&amp;".A.a."&amp;"#"))</f>
        <v/>
      </c>
      <c r="FP43" s="2" t="str">
        <f ca="1">IF(FP$41="","",SUBSTITUTE(TEXTJOINARRAY("|",TRUE,FINDLINKS(DatasetLinks,MATCH("Dataset "&amp;MINDS!FP$55,OFFSET(DatasetLinks,0,0,1),0),"Experimental method ", ExperimentalMethodLookup, 1)),"#",MINDS!$C$19&amp;".A.e."&amp;"#")&amp;"|"&amp;SUBSTITUTE(TEXTJOINARRAY("|",TRUE,FINDLINKS(DatasetLinks,MATCH("Dataset "&amp;MINDS!FP$55,OFFSET(DatasetLinks,0,0,1),0),"Analysis method ", AnalysisMethodLookup, 1)),"#",MINDS!$C$19&amp;".A.a."&amp;"#"))</f>
        <v/>
      </c>
      <c r="FQ43" s="2" t="str">
        <f ca="1">IF(FQ$41="","",SUBSTITUTE(TEXTJOINARRAY("|",TRUE,FINDLINKS(DatasetLinks,MATCH("Dataset "&amp;MINDS!FQ$55,OFFSET(DatasetLinks,0,0,1),0),"Experimental method ", ExperimentalMethodLookup, 1)),"#",MINDS!$C$19&amp;".A.e."&amp;"#")&amp;"|"&amp;SUBSTITUTE(TEXTJOINARRAY("|",TRUE,FINDLINKS(DatasetLinks,MATCH("Dataset "&amp;MINDS!FQ$55,OFFSET(DatasetLinks,0,0,1),0),"Analysis method ", AnalysisMethodLookup, 1)),"#",MINDS!$C$19&amp;".A.a."&amp;"#"))</f>
        <v/>
      </c>
      <c r="FR43" s="2" t="str">
        <f ca="1">IF(FR$41="","",SUBSTITUTE(TEXTJOINARRAY("|",TRUE,FINDLINKS(DatasetLinks,MATCH("Dataset "&amp;MINDS!FR$55,OFFSET(DatasetLinks,0,0,1),0),"Experimental method ", ExperimentalMethodLookup, 1)),"#",MINDS!$C$19&amp;".A.e."&amp;"#")&amp;"|"&amp;SUBSTITUTE(TEXTJOINARRAY("|",TRUE,FINDLINKS(DatasetLinks,MATCH("Dataset "&amp;MINDS!FR$55,OFFSET(DatasetLinks,0,0,1),0),"Analysis method ", AnalysisMethodLookup, 1)),"#",MINDS!$C$19&amp;".A.a."&amp;"#"))</f>
        <v/>
      </c>
      <c r="FS43" s="2" t="str">
        <f ca="1">IF(FS$41="","",SUBSTITUTE(TEXTJOINARRAY("|",TRUE,FINDLINKS(DatasetLinks,MATCH("Dataset "&amp;MINDS!FS$55,OFFSET(DatasetLinks,0,0,1),0),"Experimental method ", ExperimentalMethodLookup, 1)),"#",MINDS!$C$19&amp;".A.e."&amp;"#")&amp;"|"&amp;SUBSTITUTE(TEXTJOINARRAY("|",TRUE,FINDLINKS(DatasetLinks,MATCH("Dataset "&amp;MINDS!FS$55,OFFSET(DatasetLinks,0,0,1),0),"Analysis method ", AnalysisMethodLookup, 1)),"#",MINDS!$C$19&amp;".A.a."&amp;"#"))</f>
        <v/>
      </c>
      <c r="FT43" s="2" t="str">
        <f ca="1">IF(FT$41="","",SUBSTITUTE(TEXTJOINARRAY("|",TRUE,FINDLINKS(DatasetLinks,MATCH("Dataset "&amp;MINDS!FT$55,OFFSET(DatasetLinks,0,0,1),0),"Experimental method ", ExperimentalMethodLookup, 1)),"#",MINDS!$C$19&amp;".A.e."&amp;"#")&amp;"|"&amp;SUBSTITUTE(TEXTJOINARRAY("|",TRUE,FINDLINKS(DatasetLinks,MATCH("Dataset "&amp;MINDS!FT$55,OFFSET(DatasetLinks,0,0,1),0),"Analysis method ", AnalysisMethodLookup, 1)),"#",MINDS!$C$19&amp;".A.a."&amp;"#"))</f>
        <v/>
      </c>
      <c r="FU43" s="2" t="str">
        <f ca="1">IF(FU$41="","",SUBSTITUTE(TEXTJOINARRAY("|",TRUE,FINDLINKS(DatasetLinks,MATCH("Dataset "&amp;MINDS!FU$55,OFFSET(DatasetLinks,0,0,1),0),"Experimental method ", ExperimentalMethodLookup, 1)),"#",MINDS!$C$19&amp;".A.e."&amp;"#")&amp;"|"&amp;SUBSTITUTE(TEXTJOINARRAY("|",TRUE,FINDLINKS(DatasetLinks,MATCH("Dataset "&amp;MINDS!FU$55,OFFSET(DatasetLinks,0,0,1),0),"Analysis method ", AnalysisMethodLookup, 1)),"#",MINDS!$C$19&amp;".A.a."&amp;"#"))</f>
        <v/>
      </c>
      <c r="FV43" s="2" t="str">
        <f ca="1">IF(FV$41="","",SUBSTITUTE(TEXTJOINARRAY("|",TRUE,FINDLINKS(DatasetLinks,MATCH("Dataset "&amp;MINDS!FV$55,OFFSET(DatasetLinks,0,0,1),0),"Experimental method ", ExperimentalMethodLookup, 1)),"#",MINDS!$C$19&amp;".A.e."&amp;"#")&amp;"|"&amp;SUBSTITUTE(TEXTJOINARRAY("|",TRUE,FINDLINKS(DatasetLinks,MATCH("Dataset "&amp;MINDS!FV$55,OFFSET(DatasetLinks,0,0,1),0),"Analysis method ", AnalysisMethodLookup, 1)),"#",MINDS!$C$19&amp;".A.a."&amp;"#"))</f>
        <v/>
      </c>
      <c r="FW43" s="2" t="str">
        <f ca="1">IF(FW$41="","",SUBSTITUTE(TEXTJOINARRAY("|",TRUE,FINDLINKS(DatasetLinks,MATCH("Dataset "&amp;MINDS!FW$55,OFFSET(DatasetLinks,0,0,1),0),"Experimental method ", ExperimentalMethodLookup, 1)),"#",MINDS!$C$19&amp;".A.e."&amp;"#")&amp;"|"&amp;SUBSTITUTE(TEXTJOINARRAY("|",TRUE,FINDLINKS(DatasetLinks,MATCH("Dataset "&amp;MINDS!FW$55,OFFSET(DatasetLinks,0,0,1),0),"Analysis method ", AnalysisMethodLookup, 1)),"#",MINDS!$C$19&amp;".A.a."&amp;"#"))</f>
        <v/>
      </c>
      <c r="FX43" s="2" t="str">
        <f ca="1">IF(FX$41="","",SUBSTITUTE(TEXTJOINARRAY("|",TRUE,FINDLINKS(DatasetLinks,MATCH("Dataset "&amp;MINDS!FX$55,OFFSET(DatasetLinks,0,0,1),0),"Experimental method ", ExperimentalMethodLookup, 1)),"#",MINDS!$C$19&amp;".A.e."&amp;"#")&amp;"|"&amp;SUBSTITUTE(TEXTJOINARRAY("|",TRUE,FINDLINKS(DatasetLinks,MATCH("Dataset "&amp;MINDS!FX$55,OFFSET(DatasetLinks,0,0,1),0),"Analysis method ", AnalysisMethodLookup, 1)),"#",MINDS!$C$19&amp;".A.a."&amp;"#"))</f>
        <v/>
      </c>
      <c r="FY43" s="2" t="str">
        <f ca="1">IF(FY$41="","",SUBSTITUTE(TEXTJOINARRAY("|",TRUE,FINDLINKS(DatasetLinks,MATCH("Dataset "&amp;MINDS!FY$55,OFFSET(DatasetLinks,0,0,1),0),"Experimental method ", ExperimentalMethodLookup, 1)),"#",MINDS!$C$19&amp;".A.e."&amp;"#")&amp;"|"&amp;SUBSTITUTE(TEXTJOINARRAY("|",TRUE,FINDLINKS(DatasetLinks,MATCH("Dataset "&amp;MINDS!FY$55,OFFSET(DatasetLinks,0,0,1),0),"Analysis method ", AnalysisMethodLookup, 1)),"#",MINDS!$C$19&amp;".A.a."&amp;"#"))</f>
        <v/>
      </c>
      <c r="FZ43" s="2" t="str">
        <f ca="1">IF(FZ$41="","",SUBSTITUTE(TEXTJOINARRAY("|",TRUE,FINDLINKS(DatasetLinks,MATCH("Dataset "&amp;MINDS!FZ$55,OFFSET(DatasetLinks,0,0,1),0),"Experimental method ", ExperimentalMethodLookup, 1)),"#",MINDS!$C$19&amp;".A.e."&amp;"#")&amp;"|"&amp;SUBSTITUTE(TEXTJOINARRAY("|",TRUE,FINDLINKS(DatasetLinks,MATCH("Dataset "&amp;MINDS!FZ$55,OFFSET(DatasetLinks,0,0,1),0),"Analysis method ", AnalysisMethodLookup, 1)),"#",MINDS!$C$19&amp;".A.a."&amp;"#"))</f>
        <v/>
      </c>
      <c r="GA43" s="2" t="str">
        <f ca="1">IF(GA$41="","",SUBSTITUTE(TEXTJOINARRAY("|",TRUE,FINDLINKS(DatasetLinks,MATCH("Dataset "&amp;MINDS!GA$55,OFFSET(DatasetLinks,0,0,1),0),"Experimental method ", ExperimentalMethodLookup, 1)),"#",MINDS!$C$19&amp;".A.e."&amp;"#")&amp;"|"&amp;SUBSTITUTE(TEXTJOINARRAY("|",TRUE,FINDLINKS(DatasetLinks,MATCH("Dataset "&amp;MINDS!GA$55,OFFSET(DatasetLinks,0,0,1),0),"Analysis method ", AnalysisMethodLookup, 1)),"#",MINDS!$C$19&amp;".A.a."&amp;"#"))</f>
        <v/>
      </c>
      <c r="GB43" s="2" t="str">
        <f ca="1">IF(GB$41="","",SUBSTITUTE(TEXTJOINARRAY("|",TRUE,FINDLINKS(DatasetLinks,MATCH("Dataset "&amp;MINDS!GB$55,OFFSET(DatasetLinks,0,0,1),0),"Experimental method ", ExperimentalMethodLookup, 1)),"#",MINDS!$C$19&amp;".A.e."&amp;"#")&amp;"|"&amp;SUBSTITUTE(TEXTJOINARRAY("|",TRUE,FINDLINKS(DatasetLinks,MATCH("Dataset "&amp;MINDS!GB$55,OFFSET(DatasetLinks,0,0,1),0),"Analysis method ", AnalysisMethodLookup, 1)),"#",MINDS!$C$19&amp;".A.a."&amp;"#"))</f>
        <v/>
      </c>
      <c r="GC43" s="2" t="str">
        <f ca="1">IF(GC$41="","",SUBSTITUTE(TEXTJOINARRAY("|",TRUE,FINDLINKS(DatasetLinks,MATCH("Dataset "&amp;MINDS!GC$55,OFFSET(DatasetLinks,0,0,1),0),"Experimental method ", ExperimentalMethodLookup, 1)),"#",MINDS!$C$19&amp;".A.e."&amp;"#")&amp;"|"&amp;SUBSTITUTE(TEXTJOINARRAY("|",TRUE,FINDLINKS(DatasetLinks,MATCH("Dataset "&amp;MINDS!GC$55,OFFSET(DatasetLinks,0,0,1),0),"Analysis method ", AnalysisMethodLookup, 1)),"#",MINDS!$C$19&amp;".A.a."&amp;"#"))</f>
        <v/>
      </c>
      <c r="GD43" s="2" t="str">
        <f ca="1">IF(GD$41="","",SUBSTITUTE(TEXTJOINARRAY("|",TRUE,FINDLINKS(DatasetLinks,MATCH("Dataset "&amp;MINDS!GD$55,OFFSET(DatasetLinks,0,0,1),0),"Experimental method ", ExperimentalMethodLookup, 1)),"#",MINDS!$C$19&amp;".A.e."&amp;"#")&amp;"|"&amp;SUBSTITUTE(TEXTJOINARRAY("|",TRUE,FINDLINKS(DatasetLinks,MATCH("Dataset "&amp;MINDS!GD$55,OFFSET(DatasetLinks,0,0,1),0),"Analysis method ", AnalysisMethodLookup, 1)),"#",MINDS!$C$19&amp;".A.a."&amp;"#"))</f>
        <v/>
      </c>
      <c r="GE43" s="2" t="str">
        <f ca="1">IF(GE$41="","",SUBSTITUTE(TEXTJOINARRAY("|",TRUE,FINDLINKS(DatasetLinks,MATCH("Dataset "&amp;MINDS!GE$55,OFFSET(DatasetLinks,0,0,1),0),"Experimental method ", ExperimentalMethodLookup, 1)),"#",MINDS!$C$19&amp;".A.e."&amp;"#")&amp;"|"&amp;SUBSTITUTE(TEXTJOINARRAY("|",TRUE,FINDLINKS(DatasetLinks,MATCH("Dataset "&amp;MINDS!GE$55,OFFSET(DatasetLinks,0,0,1),0),"Analysis method ", AnalysisMethodLookup, 1)),"#",MINDS!$C$19&amp;".A.a."&amp;"#"))</f>
        <v/>
      </c>
      <c r="GF43" s="2" t="str">
        <f ca="1">IF(GF$41="","",SUBSTITUTE(TEXTJOINARRAY("|",TRUE,FINDLINKS(DatasetLinks,MATCH("Dataset "&amp;MINDS!GF$55,OFFSET(DatasetLinks,0,0,1),0),"Experimental method ", ExperimentalMethodLookup, 1)),"#",MINDS!$C$19&amp;".A.e."&amp;"#")&amp;"|"&amp;SUBSTITUTE(TEXTJOINARRAY("|",TRUE,FINDLINKS(DatasetLinks,MATCH("Dataset "&amp;MINDS!GF$55,OFFSET(DatasetLinks,0,0,1),0),"Analysis method ", AnalysisMethodLookup, 1)),"#",MINDS!$C$19&amp;".A.a."&amp;"#"))</f>
        <v/>
      </c>
      <c r="GG43" s="2" t="str">
        <f ca="1">IF(GG$41="","",SUBSTITUTE(TEXTJOINARRAY("|",TRUE,FINDLINKS(DatasetLinks,MATCH("Dataset "&amp;MINDS!GG$55,OFFSET(DatasetLinks,0,0,1),0),"Experimental method ", ExperimentalMethodLookup, 1)),"#",MINDS!$C$19&amp;".A.e."&amp;"#")&amp;"|"&amp;SUBSTITUTE(TEXTJOINARRAY("|",TRUE,FINDLINKS(DatasetLinks,MATCH("Dataset "&amp;MINDS!GG$55,OFFSET(DatasetLinks,0,0,1),0),"Analysis method ", AnalysisMethodLookup, 1)),"#",MINDS!$C$19&amp;".A.a."&amp;"#"))</f>
        <v/>
      </c>
      <c r="GH43" s="2" t="str">
        <f ca="1">IF(GH$41="","",SUBSTITUTE(TEXTJOINARRAY("|",TRUE,FINDLINKS(DatasetLinks,MATCH("Dataset "&amp;MINDS!GH$55,OFFSET(DatasetLinks,0,0,1),0),"Experimental method ", ExperimentalMethodLookup, 1)),"#",MINDS!$C$19&amp;".A.e."&amp;"#")&amp;"|"&amp;SUBSTITUTE(TEXTJOINARRAY("|",TRUE,FINDLINKS(DatasetLinks,MATCH("Dataset "&amp;MINDS!GH$55,OFFSET(DatasetLinks,0,0,1),0),"Analysis method ", AnalysisMethodLookup, 1)),"#",MINDS!$C$19&amp;".A.a."&amp;"#"))</f>
        <v/>
      </c>
      <c r="GI43" s="2" t="str">
        <f ca="1">IF(GI$41="","",SUBSTITUTE(TEXTJOINARRAY("|",TRUE,FINDLINKS(DatasetLinks,MATCH("Dataset "&amp;MINDS!GI$55,OFFSET(DatasetLinks,0,0,1),0),"Experimental method ", ExperimentalMethodLookup, 1)),"#",MINDS!$C$19&amp;".A.e."&amp;"#")&amp;"|"&amp;SUBSTITUTE(TEXTJOINARRAY("|",TRUE,FINDLINKS(DatasetLinks,MATCH("Dataset "&amp;MINDS!GI$55,OFFSET(DatasetLinks,0,0,1),0),"Analysis method ", AnalysisMethodLookup, 1)),"#",MINDS!$C$19&amp;".A.a."&amp;"#"))</f>
        <v/>
      </c>
      <c r="GJ43" s="2" t="str">
        <f ca="1">IF(GJ$41="","",SUBSTITUTE(TEXTJOINARRAY("|",TRUE,FINDLINKS(DatasetLinks,MATCH("Dataset "&amp;MINDS!GJ$55,OFFSET(DatasetLinks,0,0,1),0),"Experimental method ", ExperimentalMethodLookup, 1)),"#",MINDS!$C$19&amp;".A.e."&amp;"#")&amp;"|"&amp;SUBSTITUTE(TEXTJOINARRAY("|",TRUE,FINDLINKS(DatasetLinks,MATCH("Dataset "&amp;MINDS!GJ$55,OFFSET(DatasetLinks,0,0,1),0),"Analysis method ", AnalysisMethodLookup, 1)),"#",MINDS!$C$19&amp;".A.a."&amp;"#"))</f>
        <v/>
      </c>
      <c r="GK43" s="2" t="str">
        <f ca="1">IF(GK$41="","",SUBSTITUTE(TEXTJOINARRAY("|",TRUE,FINDLINKS(DatasetLinks,MATCH("Dataset "&amp;MINDS!GK$55,OFFSET(DatasetLinks,0,0,1),0),"Experimental method ", ExperimentalMethodLookup, 1)),"#",MINDS!$C$19&amp;".A.e."&amp;"#")&amp;"|"&amp;SUBSTITUTE(TEXTJOINARRAY("|",TRUE,FINDLINKS(DatasetLinks,MATCH("Dataset "&amp;MINDS!GK$55,OFFSET(DatasetLinks,0,0,1),0),"Analysis method ", AnalysisMethodLookup, 1)),"#",MINDS!$C$19&amp;".A.a."&amp;"#"))</f>
        <v/>
      </c>
      <c r="GL43" s="2" t="str">
        <f ca="1">IF(GL$41="","",SUBSTITUTE(TEXTJOINARRAY("|",TRUE,FINDLINKS(DatasetLinks,MATCH("Dataset "&amp;MINDS!GL$55,OFFSET(DatasetLinks,0,0,1),0),"Experimental method ", ExperimentalMethodLookup, 1)),"#",MINDS!$C$19&amp;".A.e."&amp;"#")&amp;"|"&amp;SUBSTITUTE(TEXTJOINARRAY("|",TRUE,FINDLINKS(DatasetLinks,MATCH("Dataset "&amp;MINDS!GL$55,OFFSET(DatasetLinks,0,0,1),0),"Analysis method ", AnalysisMethodLookup, 1)),"#",MINDS!$C$19&amp;".A.a."&amp;"#"))</f>
        <v/>
      </c>
      <c r="GM43" s="2" t="str">
        <f ca="1">IF(GM$41="","",SUBSTITUTE(TEXTJOINARRAY("|",TRUE,FINDLINKS(DatasetLinks,MATCH("Dataset "&amp;MINDS!GM$55,OFFSET(DatasetLinks,0,0,1),0),"Experimental method ", ExperimentalMethodLookup, 1)),"#",MINDS!$C$19&amp;".A.e."&amp;"#")&amp;"|"&amp;SUBSTITUTE(TEXTJOINARRAY("|",TRUE,FINDLINKS(DatasetLinks,MATCH("Dataset "&amp;MINDS!GM$55,OFFSET(DatasetLinks,0,0,1),0),"Analysis method ", AnalysisMethodLookup, 1)),"#",MINDS!$C$19&amp;".A.a."&amp;"#"))</f>
        <v/>
      </c>
      <c r="GN43" s="2" t="str">
        <f ca="1">IF(GN$41="","",SUBSTITUTE(TEXTJOINARRAY("|",TRUE,FINDLINKS(DatasetLinks,MATCH("Dataset "&amp;MINDS!GN$55,OFFSET(DatasetLinks,0,0,1),0),"Experimental method ", ExperimentalMethodLookup, 1)),"#",MINDS!$C$19&amp;".A.e."&amp;"#")&amp;"|"&amp;SUBSTITUTE(TEXTJOINARRAY("|",TRUE,FINDLINKS(DatasetLinks,MATCH("Dataset "&amp;MINDS!GN$55,OFFSET(DatasetLinks,0,0,1),0),"Analysis method ", AnalysisMethodLookup, 1)),"#",MINDS!$C$19&amp;".A.a."&amp;"#"))</f>
        <v/>
      </c>
      <c r="GO43" s="2" t="str">
        <f ca="1">IF(GO$41="","",SUBSTITUTE(TEXTJOINARRAY("|",TRUE,FINDLINKS(DatasetLinks,MATCH("Dataset "&amp;MINDS!GO$55,OFFSET(DatasetLinks,0,0,1),0),"Experimental method ", ExperimentalMethodLookup, 1)),"#",MINDS!$C$19&amp;".A.e."&amp;"#")&amp;"|"&amp;SUBSTITUTE(TEXTJOINARRAY("|",TRUE,FINDLINKS(DatasetLinks,MATCH("Dataset "&amp;MINDS!GO$55,OFFSET(DatasetLinks,0,0,1),0),"Analysis method ", AnalysisMethodLookup, 1)),"#",MINDS!$C$19&amp;".A.a."&amp;"#"))</f>
        <v/>
      </c>
      <c r="GP43" s="2" t="str">
        <f ca="1">IF(GP$41="","",SUBSTITUTE(TEXTJOINARRAY("|",TRUE,FINDLINKS(DatasetLinks,MATCH("Dataset "&amp;MINDS!GP$55,OFFSET(DatasetLinks,0,0,1),0),"Experimental method ", ExperimentalMethodLookup, 1)),"#",MINDS!$C$19&amp;".A.e."&amp;"#")&amp;"|"&amp;SUBSTITUTE(TEXTJOINARRAY("|",TRUE,FINDLINKS(DatasetLinks,MATCH("Dataset "&amp;MINDS!GP$55,OFFSET(DatasetLinks,0,0,1),0),"Analysis method ", AnalysisMethodLookup, 1)),"#",MINDS!$C$19&amp;".A.a."&amp;"#"))</f>
        <v/>
      </c>
      <c r="GQ43" s="2" t="str">
        <f ca="1">IF(GQ$41="","",SUBSTITUTE(TEXTJOINARRAY("|",TRUE,FINDLINKS(DatasetLinks,MATCH("Dataset "&amp;MINDS!GQ$55,OFFSET(DatasetLinks,0,0,1),0),"Experimental method ", ExperimentalMethodLookup, 1)),"#",MINDS!$C$19&amp;".A.e."&amp;"#")&amp;"|"&amp;SUBSTITUTE(TEXTJOINARRAY("|",TRUE,FINDLINKS(DatasetLinks,MATCH("Dataset "&amp;MINDS!GQ$55,OFFSET(DatasetLinks,0,0,1),0),"Analysis method ", AnalysisMethodLookup, 1)),"#",MINDS!$C$19&amp;".A.a."&amp;"#"))</f>
        <v/>
      </c>
      <c r="GR43" s="2" t="str">
        <f ca="1">IF(GR$41="","",SUBSTITUTE(TEXTJOINARRAY("|",TRUE,FINDLINKS(DatasetLinks,MATCH("Dataset "&amp;MINDS!GR$55,OFFSET(DatasetLinks,0,0,1),0),"Experimental method ", ExperimentalMethodLookup, 1)),"#",MINDS!$C$19&amp;".A.e."&amp;"#")&amp;"|"&amp;SUBSTITUTE(TEXTJOINARRAY("|",TRUE,FINDLINKS(DatasetLinks,MATCH("Dataset "&amp;MINDS!GR$55,OFFSET(DatasetLinks,0,0,1),0),"Analysis method ", AnalysisMethodLookup, 1)),"#",MINDS!$C$19&amp;".A.a."&amp;"#"))</f>
        <v/>
      </c>
      <c r="GS43" s="2" t="str">
        <f ca="1">IF(GS$41="","",SUBSTITUTE(TEXTJOINARRAY("|",TRUE,FINDLINKS(DatasetLinks,MATCH("Dataset "&amp;MINDS!GS$55,OFFSET(DatasetLinks,0,0,1),0),"Experimental method ", ExperimentalMethodLookup, 1)),"#",MINDS!$C$19&amp;".A.e."&amp;"#")&amp;"|"&amp;SUBSTITUTE(TEXTJOINARRAY("|",TRUE,FINDLINKS(DatasetLinks,MATCH("Dataset "&amp;MINDS!GS$55,OFFSET(DatasetLinks,0,0,1),0),"Analysis method ", AnalysisMethodLookup, 1)),"#",MINDS!$C$19&amp;".A.a."&amp;"#"))</f>
        <v/>
      </c>
      <c r="GT43" s="2" t="str">
        <f ca="1">IF(GT$41="","",SUBSTITUTE(TEXTJOINARRAY("|",TRUE,FINDLINKS(DatasetLinks,MATCH("Dataset "&amp;MINDS!GT$55,OFFSET(DatasetLinks,0,0,1),0),"Experimental method ", ExperimentalMethodLookup, 1)),"#",MINDS!$C$19&amp;".A.e."&amp;"#")&amp;"|"&amp;SUBSTITUTE(TEXTJOINARRAY("|",TRUE,FINDLINKS(DatasetLinks,MATCH("Dataset "&amp;MINDS!GT$55,OFFSET(DatasetLinks,0,0,1),0),"Analysis method ", AnalysisMethodLookup, 1)),"#",MINDS!$C$19&amp;".A.a."&amp;"#"))</f>
        <v/>
      </c>
      <c r="GU43" s="2" t="str">
        <f ca="1">IF(GU$41="","",SUBSTITUTE(TEXTJOINARRAY("|",TRUE,FINDLINKS(DatasetLinks,MATCH("Dataset "&amp;MINDS!GU$55,OFFSET(DatasetLinks,0,0,1),0),"Experimental method ", ExperimentalMethodLookup, 1)),"#",MINDS!$C$19&amp;".A.e."&amp;"#")&amp;"|"&amp;SUBSTITUTE(TEXTJOINARRAY("|",TRUE,FINDLINKS(DatasetLinks,MATCH("Dataset "&amp;MINDS!GU$55,OFFSET(DatasetLinks,0,0,1),0),"Analysis method ", AnalysisMethodLookup, 1)),"#",MINDS!$C$19&amp;".A.a."&amp;"#"))</f>
        <v/>
      </c>
      <c r="GV43" s="2" t="str">
        <f ca="1">IF(GV$41="","",SUBSTITUTE(TEXTJOINARRAY("|",TRUE,FINDLINKS(DatasetLinks,MATCH("Dataset "&amp;MINDS!GV$55,OFFSET(DatasetLinks,0,0,1),0),"Experimental method ", ExperimentalMethodLookup, 1)),"#",MINDS!$C$19&amp;".A.e."&amp;"#")&amp;"|"&amp;SUBSTITUTE(TEXTJOINARRAY("|",TRUE,FINDLINKS(DatasetLinks,MATCH("Dataset "&amp;MINDS!GV$55,OFFSET(DatasetLinks,0,0,1),0),"Analysis method ", AnalysisMethodLookup, 1)),"#",MINDS!$C$19&amp;".A.a."&amp;"#"))</f>
        <v/>
      </c>
      <c r="GW43" s="2" t="str">
        <f ca="1">IF(GW$41="","",SUBSTITUTE(TEXTJOINARRAY("|",TRUE,FINDLINKS(DatasetLinks,MATCH("Dataset "&amp;MINDS!GW$55,OFFSET(DatasetLinks,0,0,1),0),"Experimental method ", ExperimentalMethodLookup, 1)),"#",MINDS!$C$19&amp;".A.e."&amp;"#")&amp;"|"&amp;SUBSTITUTE(TEXTJOINARRAY("|",TRUE,FINDLINKS(DatasetLinks,MATCH("Dataset "&amp;MINDS!GW$55,OFFSET(DatasetLinks,0,0,1),0),"Analysis method ", AnalysisMethodLookup, 1)),"#",MINDS!$C$19&amp;".A.a."&amp;"#"))</f>
        <v/>
      </c>
      <c r="GX43" s="2" t="str">
        <f ca="1">IF(GX$41="","",SUBSTITUTE(TEXTJOINARRAY("|",TRUE,FINDLINKS(DatasetLinks,MATCH("Dataset "&amp;MINDS!GX$55,OFFSET(DatasetLinks,0,0,1),0),"Experimental method ", ExperimentalMethodLookup, 1)),"#",MINDS!$C$19&amp;".A.e."&amp;"#")&amp;"|"&amp;SUBSTITUTE(TEXTJOINARRAY("|",TRUE,FINDLINKS(DatasetLinks,MATCH("Dataset "&amp;MINDS!GX$55,OFFSET(DatasetLinks,0,0,1),0),"Analysis method ", AnalysisMethodLookup, 1)),"#",MINDS!$C$19&amp;".A.a."&amp;"#"))</f>
        <v/>
      </c>
      <c r="GY43" s="2" t="str">
        <f ca="1">IF(GY$41="","",SUBSTITUTE(TEXTJOINARRAY("|",TRUE,FINDLINKS(DatasetLinks,MATCH("Dataset "&amp;MINDS!GY$55,OFFSET(DatasetLinks,0,0,1),0),"Experimental method ", ExperimentalMethodLookup, 1)),"#",MINDS!$C$19&amp;".A.e."&amp;"#")&amp;"|"&amp;SUBSTITUTE(TEXTJOINARRAY("|",TRUE,FINDLINKS(DatasetLinks,MATCH("Dataset "&amp;MINDS!GY$55,OFFSET(DatasetLinks,0,0,1),0),"Analysis method ", AnalysisMethodLookup, 1)),"#",MINDS!$C$19&amp;".A.a."&amp;"#"))</f>
        <v/>
      </c>
      <c r="GZ43" s="2" t="str">
        <f ca="1">IF(GZ$41="","",SUBSTITUTE(TEXTJOINARRAY("|",TRUE,FINDLINKS(DatasetLinks,MATCH("Dataset "&amp;MINDS!GZ$55,OFFSET(DatasetLinks,0,0,1),0),"Experimental method ", ExperimentalMethodLookup, 1)),"#",MINDS!$C$19&amp;".A.e."&amp;"#")&amp;"|"&amp;SUBSTITUTE(TEXTJOINARRAY("|",TRUE,FINDLINKS(DatasetLinks,MATCH("Dataset "&amp;MINDS!GZ$55,OFFSET(DatasetLinks,0,0,1),0),"Analysis method ", AnalysisMethodLookup, 1)),"#",MINDS!$C$19&amp;".A.a."&amp;"#"))</f>
        <v/>
      </c>
      <c r="HA43" s="2" t="str">
        <f ca="1">IF(HA$41="","",SUBSTITUTE(TEXTJOINARRAY("|",TRUE,FINDLINKS(DatasetLinks,MATCH("Dataset "&amp;MINDS!HA$55,OFFSET(DatasetLinks,0,0,1),0),"Experimental method ", ExperimentalMethodLookup, 1)),"#",MINDS!$C$19&amp;".A.e."&amp;"#")&amp;"|"&amp;SUBSTITUTE(TEXTJOINARRAY("|",TRUE,FINDLINKS(DatasetLinks,MATCH("Dataset "&amp;MINDS!HA$55,OFFSET(DatasetLinks,0,0,1),0),"Analysis method ", AnalysisMethodLookup, 1)),"#",MINDS!$C$19&amp;".A.a."&amp;"#"))</f>
        <v/>
      </c>
      <c r="HB43" s="2" t="str">
        <f ca="1">IF(HB$41="","",SUBSTITUTE(TEXTJOINARRAY("|",TRUE,FINDLINKS(DatasetLinks,MATCH("Dataset "&amp;MINDS!HB$55,OFFSET(DatasetLinks,0,0,1),0),"Experimental method ", ExperimentalMethodLookup, 1)),"#",MINDS!$C$19&amp;".A.e."&amp;"#")&amp;"|"&amp;SUBSTITUTE(TEXTJOINARRAY("|",TRUE,FINDLINKS(DatasetLinks,MATCH("Dataset "&amp;MINDS!HB$55,OFFSET(DatasetLinks,0,0,1),0),"Analysis method ", AnalysisMethodLookup, 1)),"#",MINDS!$C$19&amp;".A.a."&amp;"#"))</f>
        <v/>
      </c>
      <c r="HC43" s="2" t="str">
        <f ca="1">IF(HC$41="","",SUBSTITUTE(TEXTJOINARRAY("|",TRUE,FINDLINKS(DatasetLinks,MATCH("Dataset "&amp;MINDS!HC$55,OFFSET(DatasetLinks,0,0,1),0),"Experimental method ", ExperimentalMethodLookup, 1)),"#",MINDS!$C$19&amp;".A.e."&amp;"#")&amp;"|"&amp;SUBSTITUTE(TEXTJOINARRAY("|",TRUE,FINDLINKS(DatasetLinks,MATCH("Dataset "&amp;MINDS!HC$55,OFFSET(DatasetLinks,0,0,1),0),"Analysis method ", AnalysisMethodLookup, 1)),"#",MINDS!$C$19&amp;".A.a."&amp;"#"))</f>
        <v/>
      </c>
      <c r="HD43" s="2" t="str">
        <f ca="1">IF(HD$41="","",SUBSTITUTE(TEXTJOINARRAY("|",TRUE,FINDLINKS(DatasetLinks,MATCH("Dataset "&amp;MINDS!HD$55,OFFSET(DatasetLinks,0,0,1),0),"Experimental method ", ExperimentalMethodLookup, 1)),"#",MINDS!$C$19&amp;".A.e."&amp;"#")&amp;"|"&amp;SUBSTITUTE(TEXTJOINARRAY("|",TRUE,FINDLINKS(DatasetLinks,MATCH("Dataset "&amp;MINDS!HD$55,OFFSET(DatasetLinks,0,0,1),0),"Analysis method ", AnalysisMethodLookup, 1)),"#",MINDS!$C$19&amp;".A.a."&amp;"#"))</f>
        <v/>
      </c>
      <c r="HE43" s="2" t="str">
        <f ca="1">IF(HE$41="","",SUBSTITUTE(TEXTJOINARRAY("|",TRUE,FINDLINKS(DatasetLinks,MATCH("Dataset "&amp;MINDS!HE$55,OFFSET(DatasetLinks,0,0,1),0),"Experimental method ", ExperimentalMethodLookup, 1)),"#",MINDS!$C$19&amp;".A.e."&amp;"#")&amp;"|"&amp;SUBSTITUTE(TEXTJOINARRAY("|",TRUE,FINDLINKS(DatasetLinks,MATCH("Dataset "&amp;MINDS!HE$55,OFFSET(DatasetLinks,0,0,1),0),"Analysis method ", AnalysisMethodLookup, 1)),"#",MINDS!$C$19&amp;".A.a."&amp;"#"))</f>
        <v/>
      </c>
      <c r="HF43" s="2" t="str">
        <f ca="1">IF(HF$41="","",SUBSTITUTE(TEXTJOINARRAY("|",TRUE,FINDLINKS(DatasetLinks,MATCH("Dataset "&amp;MINDS!HF$55,OFFSET(DatasetLinks,0,0,1),0),"Experimental method ", ExperimentalMethodLookup, 1)),"#",MINDS!$C$19&amp;".A.e."&amp;"#")&amp;"|"&amp;SUBSTITUTE(TEXTJOINARRAY("|",TRUE,FINDLINKS(DatasetLinks,MATCH("Dataset "&amp;MINDS!HF$55,OFFSET(DatasetLinks,0,0,1),0),"Analysis method ", AnalysisMethodLookup, 1)),"#",MINDS!$C$19&amp;".A.a."&amp;"#"))</f>
        <v/>
      </c>
      <c r="HG43" s="2" t="str">
        <f ca="1">IF(HG$41="","",SUBSTITUTE(TEXTJOINARRAY("|",TRUE,FINDLINKS(DatasetLinks,MATCH("Dataset "&amp;MINDS!HG$55,OFFSET(DatasetLinks,0,0,1),0),"Experimental method ", ExperimentalMethodLookup, 1)),"#",MINDS!$C$19&amp;".A.e."&amp;"#")&amp;"|"&amp;SUBSTITUTE(TEXTJOINARRAY("|",TRUE,FINDLINKS(DatasetLinks,MATCH("Dataset "&amp;MINDS!HG$55,OFFSET(DatasetLinks,0,0,1),0),"Analysis method ", AnalysisMethodLookup, 1)),"#",MINDS!$C$19&amp;".A.a."&amp;"#"))</f>
        <v/>
      </c>
      <c r="HH43" s="2" t="str">
        <f ca="1">IF(HH$41="","",SUBSTITUTE(TEXTJOINARRAY("|",TRUE,FINDLINKS(DatasetLinks,MATCH("Dataset "&amp;MINDS!HH$55,OFFSET(DatasetLinks,0,0,1),0),"Experimental method ", ExperimentalMethodLookup, 1)),"#",MINDS!$C$19&amp;".A.e."&amp;"#")&amp;"|"&amp;SUBSTITUTE(TEXTJOINARRAY("|",TRUE,FINDLINKS(DatasetLinks,MATCH("Dataset "&amp;MINDS!HH$55,OFFSET(DatasetLinks,0,0,1),0),"Analysis method ", AnalysisMethodLookup, 1)),"#",MINDS!$C$19&amp;".A.a."&amp;"#"))</f>
        <v/>
      </c>
      <c r="HI43" s="2" t="str">
        <f ca="1">IF(HI$41="","",SUBSTITUTE(TEXTJOINARRAY("|",TRUE,FINDLINKS(DatasetLinks,MATCH("Dataset "&amp;MINDS!HI$55,OFFSET(DatasetLinks,0,0,1),0),"Experimental method ", ExperimentalMethodLookup, 1)),"#",MINDS!$C$19&amp;".A.e."&amp;"#")&amp;"|"&amp;SUBSTITUTE(TEXTJOINARRAY("|",TRUE,FINDLINKS(DatasetLinks,MATCH("Dataset "&amp;MINDS!HI$55,OFFSET(DatasetLinks,0,0,1),0),"Analysis method ", AnalysisMethodLookup, 1)),"#",MINDS!$C$19&amp;".A.a."&amp;"#"))</f>
        <v/>
      </c>
      <c r="HJ43" s="2" t="str">
        <f ca="1">IF(HJ$41="","",SUBSTITUTE(TEXTJOINARRAY("|",TRUE,FINDLINKS(DatasetLinks,MATCH("Dataset "&amp;MINDS!HJ$55,OFFSET(DatasetLinks,0,0,1),0),"Experimental method ", ExperimentalMethodLookup, 1)),"#",MINDS!$C$19&amp;".A.e."&amp;"#")&amp;"|"&amp;SUBSTITUTE(TEXTJOINARRAY("|",TRUE,FINDLINKS(DatasetLinks,MATCH("Dataset "&amp;MINDS!HJ$55,OFFSET(DatasetLinks,0,0,1),0),"Analysis method ", AnalysisMethodLookup, 1)),"#",MINDS!$C$19&amp;".A.a."&amp;"#"))</f>
        <v/>
      </c>
      <c r="HK43" s="2" t="str">
        <f ca="1">IF(HK$41="","",SUBSTITUTE(TEXTJOINARRAY("|",TRUE,FINDLINKS(DatasetLinks,MATCH("Dataset "&amp;MINDS!HK$55,OFFSET(DatasetLinks,0,0,1),0),"Experimental method ", ExperimentalMethodLookup, 1)),"#",MINDS!$C$19&amp;".A.e."&amp;"#")&amp;"|"&amp;SUBSTITUTE(TEXTJOINARRAY("|",TRUE,FINDLINKS(DatasetLinks,MATCH("Dataset "&amp;MINDS!HK$55,OFFSET(DatasetLinks,0,0,1),0),"Analysis method ", AnalysisMethodLookup, 1)),"#",MINDS!$C$19&amp;".A.a."&amp;"#"))</f>
        <v/>
      </c>
      <c r="HL43" s="2" t="str">
        <f ca="1">IF(HL$41="","",SUBSTITUTE(TEXTJOINARRAY("|",TRUE,FINDLINKS(DatasetLinks,MATCH("Dataset "&amp;MINDS!HL$55,OFFSET(DatasetLinks,0,0,1),0),"Experimental method ", ExperimentalMethodLookup, 1)),"#",MINDS!$C$19&amp;".A.e."&amp;"#")&amp;"|"&amp;SUBSTITUTE(TEXTJOINARRAY("|",TRUE,FINDLINKS(DatasetLinks,MATCH("Dataset "&amp;MINDS!HL$55,OFFSET(DatasetLinks,0,0,1),0),"Analysis method ", AnalysisMethodLookup, 1)),"#",MINDS!$C$19&amp;".A.a."&amp;"#"))</f>
        <v/>
      </c>
      <c r="HM43" s="2" t="str">
        <f ca="1">IF(HM$41="","",SUBSTITUTE(TEXTJOINARRAY("|",TRUE,FINDLINKS(DatasetLinks,MATCH("Dataset "&amp;MINDS!HM$55,OFFSET(DatasetLinks,0,0,1),0),"Experimental method ", ExperimentalMethodLookup, 1)),"#",MINDS!$C$19&amp;".A.e."&amp;"#")&amp;"|"&amp;SUBSTITUTE(TEXTJOINARRAY("|",TRUE,FINDLINKS(DatasetLinks,MATCH("Dataset "&amp;MINDS!HM$55,OFFSET(DatasetLinks,0,0,1),0),"Analysis method ", AnalysisMethodLookup, 1)),"#",MINDS!$C$19&amp;".A.a."&amp;"#"))</f>
        <v/>
      </c>
      <c r="HN43" s="2" t="str">
        <f ca="1">IF(HN$41="","",SUBSTITUTE(TEXTJOINARRAY("|",TRUE,FINDLINKS(DatasetLinks,MATCH("Dataset "&amp;MINDS!HN$55,OFFSET(DatasetLinks,0,0,1),0),"Experimental method ", ExperimentalMethodLookup, 1)),"#",MINDS!$C$19&amp;".A.e."&amp;"#")&amp;"|"&amp;SUBSTITUTE(TEXTJOINARRAY("|",TRUE,FINDLINKS(DatasetLinks,MATCH("Dataset "&amp;MINDS!HN$55,OFFSET(DatasetLinks,0,0,1),0),"Analysis method ", AnalysisMethodLookup, 1)),"#",MINDS!$C$19&amp;".A.a."&amp;"#"))</f>
        <v/>
      </c>
      <c r="HO43" s="2" t="str">
        <f ca="1">IF(HO$41="","",SUBSTITUTE(TEXTJOINARRAY("|",TRUE,FINDLINKS(DatasetLinks,MATCH("Dataset "&amp;MINDS!HO$55,OFFSET(DatasetLinks,0,0,1),0),"Experimental method ", ExperimentalMethodLookup, 1)),"#",MINDS!$C$19&amp;".A.e."&amp;"#")&amp;"|"&amp;SUBSTITUTE(TEXTJOINARRAY("|",TRUE,FINDLINKS(DatasetLinks,MATCH("Dataset "&amp;MINDS!HO$55,OFFSET(DatasetLinks,0,0,1),0),"Analysis method ", AnalysisMethodLookup, 1)),"#",MINDS!$C$19&amp;".A.a."&amp;"#"))</f>
        <v/>
      </c>
      <c r="HP43" s="2" t="str">
        <f ca="1">IF(HP$41="","",SUBSTITUTE(TEXTJOINARRAY("|",TRUE,FINDLINKS(DatasetLinks,MATCH("Dataset "&amp;MINDS!HP$55,OFFSET(DatasetLinks,0,0,1),0),"Experimental method ", ExperimentalMethodLookup, 1)),"#",MINDS!$C$19&amp;".A.e."&amp;"#")&amp;"|"&amp;SUBSTITUTE(TEXTJOINARRAY("|",TRUE,FINDLINKS(DatasetLinks,MATCH("Dataset "&amp;MINDS!HP$55,OFFSET(DatasetLinks,0,0,1),0),"Analysis method ", AnalysisMethodLookup, 1)),"#",MINDS!$C$19&amp;".A.a."&amp;"#"))</f>
        <v/>
      </c>
      <c r="HQ43" s="2" t="str">
        <f ca="1">IF(HQ$41="","",SUBSTITUTE(TEXTJOINARRAY("|",TRUE,FINDLINKS(DatasetLinks,MATCH("Dataset "&amp;MINDS!HQ$55,OFFSET(DatasetLinks,0,0,1),0),"Experimental method ", ExperimentalMethodLookup, 1)),"#",MINDS!$C$19&amp;".A.e."&amp;"#")&amp;"|"&amp;SUBSTITUTE(TEXTJOINARRAY("|",TRUE,FINDLINKS(DatasetLinks,MATCH("Dataset "&amp;MINDS!HQ$55,OFFSET(DatasetLinks,0,0,1),0),"Analysis method ", AnalysisMethodLookup, 1)),"#",MINDS!$C$19&amp;".A.a."&amp;"#"))</f>
        <v/>
      </c>
      <c r="HR43" s="2" t="str">
        <f ca="1">IF(HR$41="","",SUBSTITUTE(TEXTJOINARRAY("|",TRUE,FINDLINKS(DatasetLinks,MATCH("Dataset "&amp;MINDS!HR$55,OFFSET(DatasetLinks,0,0,1),0),"Experimental method ", ExperimentalMethodLookup, 1)),"#",MINDS!$C$19&amp;".A.e."&amp;"#")&amp;"|"&amp;SUBSTITUTE(TEXTJOINARRAY("|",TRUE,FINDLINKS(DatasetLinks,MATCH("Dataset "&amp;MINDS!HR$55,OFFSET(DatasetLinks,0,0,1),0),"Analysis method ", AnalysisMethodLookup, 1)),"#",MINDS!$C$19&amp;".A.a."&amp;"#"))</f>
        <v/>
      </c>
      <c r="HS43" s="2" t="str">
        <f ca="1">IF(HS$41="","",SUBSTITUTE(TEXTJOINARRAY("|",TRUE,FINDLINKS(DatasetLinks,MATCH("Dataset "&amp;MINDS!HS$55,OFFSET(DatasetLinks,0,0,1),0),"Experimental method ", ExperimentalMethodLookup, 1)),"#",MINDS!$C$19&amp;".A.e."&amp;"#")&amp;"|"&amp;SUBSTITUTE(TEXTJOINARRAY("|",TRUE,FINDLINKS(DatasetLinks,MATCH("Dataset "&amp;MINDS!HS$55,OFFSET(DatasetLinks,0,0,1),0),"Analysis method ", AnalysisMethodLookup, 1)),"#",MINDS!$C$19&amp;".A.a."&amp;"#"))</f>
        <v/>
      </c>
      <c r="HT43" s="2" t="str">
        <f ca="1">IF(HT$41="","",SUBSTITUTE(TEXTJOINARRAY("|",TRUE,FINDLINKS(DatasetLinks,MATCH("Dataset "&amp;MINDS!HT$55,OFFSET(DatasetLinks,0,0,1),0),"Experimental method ", ExperimentalMethodLookup, 1)),"#",MINDS!$C$19&amp;".A.e."&amp;"#")&amp;"|"&amp;SUBSTITUTE(TEXTJOINARRAY("|",TRUE,FINDLINKS(DatasetLinks,MATCH("Dataset "&amp;MINDS!HT$55,OFFSET(DatasetLinks,0,0,1),0),"Analysis method ", AnalysisMethodLookup, 1)),"#",MINDS!$C$19&amp;".A.a."&amp;"#"))</f>
        <v/>
      </c>
      <c r="HU43" s="2" t="str">
        <f ca="1">IF(HU$41="","",SUBSTITUTE(TEXTJOINARRAY("|",TRUE,FINDLINKS(DatasetLinks,MATCH("Dataset "&amp;MINDS!HU$55,OFFSET(DatasetLinks,0,0,1),0),"Experimental method ", ExperimentalMethodLookup, 1)),"#",MINDS!$C$19&amp;".A.e."&amp;"#")&amp;"|"&amp;SUBSTITUTE(TEXTJOINARRAY("|",TRUE,FINDLINKS(DatasetLinks,MATCH("Dataset "&amp;MINDS!HU$55,OFFSET(DatasetLinks,0,0,1),0),"Analysis method ", AnalysisMethodLookup, 1)),"#",MINDS!$C$19&amp;".A.a."&amp;"#"))</f>
        <v/>
      </c>
      <c r="HV43" s="2" t="str">
        <f ca="1">IF(HV$41="","",SUBSTITUTE(TEXTJOINARRAY("|",TRUE,FINDLINKS(DatasetLinks,MATCH("Dataset "&amp;MINDS!HV$55,OFFSET(DatasetLinks,0,0,1),0),"Experimental method ", ExperimentalMethodLookup, 1)),"#",MINDS!$C$19&amp;".A.e."&amp;"#")&amp;"|"&amp;SUBSTITUTE(TEXTJOINARRAY("|",TRUE,FINDLINKS(DatasetLinks,MATCH("Dataset "&amp;MINDS!HV$55,OFFSET(DatasetLinks,0,0,1),0),"Analysis method ", AnalysisMethodLookup, 1)),"#",MINDS!$C$19&amp;".A.a."&amp;"#"))</f>
        <v/>
      </c>
      <c r="HW43" s="2" t="str">
        <f ca="1">IF(HW$41="","",SUBSTITUTE(TEXTJOINARRAY("|",TRUE,FINDLINKS(DatasetLinks,MATCH("Dataset "&amp;MINDS!HW$55,OFFSET(DatasetLinks,0,0,1),0),"Experimental method ", ExperimentalMethodLookup, 1)),"#",MINDS!$C$19&amp;".A.e."&amp;"#")&amp;"|"&amp;SUBSTITUTE(TEXTJOINARRAY("|",TRUE,FINDLINKS(DatasetLinks,MATCH("Dataset "&amp;MINDS!HW$55,OFFSET(DatasetLinks,0,0,1),0),"Analysis method ", AnalysisMethodLookup, 1)),"#",MINDS!$C$19&amp;".A.a."&amp;"#"))</f>
        <v/>
      </c>
      <c r="HX43" s="2" t="str">
        <f ca="1">IF(HX$41="","",SUBSTITUTE(TEXTJOINARRAY("|",TRUE,FINDLINKS(DatasetLinks,MATCH("Dataset "&amp;MINDS!HX$55,OFFSET(DatasetLinks,0,0,1),0),"Experimental method ", ExperimentalMethodLookup, 1)),"#",MINDS!$C$19&amp;".A.e."&amp;"#")&amp;"|"&amp;SUBSTITUTE(TEXTJOINARRAY("|",TRUE,FINDLINKS(DatasetLinks,MATCH("Dataset "&amp;MINDS!HX$55,OFFSET(DatasetLinks,0,0,1),0),"Analysis method ", AnalysisMethodLookup, 1)),"#",MINDS!$C$19&amp;".A.a."&amp;"#"))</f>
        <v/>
      </c>
      <c r="HY43" s="2" t="str">
        <f ca="1">IF(HY$41="","",SUBSTITUTE(TEXTJOINARRAY("|",TRUE,FINDLINKS(DatasetLinks,MATCH("Dataset "&amp;MINDS!HY$55,OFFSET(DatasetLinks,0,0,1),0),"Experimental method ", ExperimentalMethodLookup, 1)),"#",MINDS!$C$19&amp;".A.e."&amp;"#")&amp;"|"&amp;SUBSTITUTE(TEXTJOINARRAY("|",TRUE,FINDLINKS(DatasetLinks,MATCH("Dataset "&amp;MINDS!HY$55,OFFSET(DatasetLinks,0,0,1),0),"Analysis method ", AnalysisMethodLookup, 1)),"#",MINDS!$C$19&amp;".A.a."&amp;"#"))</f>
        <v/>
      </c>
      <c r="HZ43" s="2" t="str">
        <f ca="1">IF(HZ$41="","",SUBSTITUTE(TEXTJOINARRAY("|",TRUE,FINDLINKS(DatasetLinks,MATCH("Dataset "&amp;MINDS!HZ$55,OFFSET(DatasetLinks,0,0,1),0),"Experimental method ", ExperimentalMethodLookup, 1)),"#",MINDS!$C$19&amp;".A.e."&amp;"#")&amp;"|"&amp;SUBSTITUTE(TEXTJOINARRAY("|",TRUE,FINDLINKS(DatasetLinks,MATCH("Dataset "&amp;MINDS!HZ$55,OFFSET(DatasetLinks,0,0,1),0),"Analysis method ", AnalysisMethodLookup, 1)),"#",MINDS!$C$19&amp;".A.a."&amp;"#"))</f>
        <v/>
      </c>
      <c r="IA43" s="2" t="str">
        <f ca="1">IF(IA$41="","",SUBSTITUTE(TEXTJOINARRAY("|",TRUE,FINDLINKS(DatasetLinks,MATCH("Dataset "&amp;MINDS!IA$55,OFFSET(DatasetLinks,0,0,1),0),"Experimental method ", ExperimentalMethodLookup, 1)),"#",MINDS!$C$19&amp;".A.e."&amp;"#")&amp;"|"&amp;SUBSTITUTE(TEXTJOINARRAY("|",TRUE,FINDLINKS(DatasetLinks,MATCH("Dataset "&amp;MINDS!IA$55,OFFSET(DatasetLinks,0,0,1),0),"Analysis method ", AnalysisMethodLookup, 1)),"#",MINDS!$C$19&amp;".A.a."&amp;"#"))</f>
        <v/>
      </c>
      <c r="IB43" s="2" t="str">
        <f ca="1">IF(IB$41="","",SUBSTITUTE(TEXTJOINARRAY("|",TRUE,FINDLINKS(DatasetLinks,MATCH("Dataset "&amp;MINDS!IB$55,OFFSET(DatasetLinks,0,0,1),0),"Experimental method ", ExperimentalMethodLookup, 1)),"#",MINDS!$C$19&amp;".A.e."&amp;"#")&amp;"|"&amp;SUBSTITUTE(TEXTJOINARRAY("|",TRUE,FINDLINKS(DatasetLinks,MATCH("Dataset "&amp;MINDS!IB$55,OFFSET(DatasetLinks,0,0,1),0),"Analysis method ", AnalysisMethodLookup, 1)),"#",MINDS!$C$19&amp;".A.a."&amp;"#"))</f>
        <v/>
      </c>
      <c r="IC43" s="2" t="str">
        <f ca="1">IF(IC$41="","",SUBSTITUTE(TEXTJOINARRAY("|",TRUE,FINDLINKS(DatasetLinks,MATCH("Dataset "&amp;MINDS!IC$55,OFFSET(DatasetLinks,0,0,1),0),"Experimental method ", ExperimentalMethodLookup, 1)),"#",MINDS!$C$19&amp;".A.e."&amp;"#")&amp;"|"&amp;SUBSTITUTE(TEXTJOINARRAY("|",TRUE,FINDLINKS(DatasetLinks,MATCH("Dataset "&amp;MINDS!IC$55,OFFSET(DatasetLinks,0,0,1),0),"Analysis method ", AnalysisMethodLookup, 1)),"#",MINDS!$C$19&amp;".A.a."&amp;"#"))</f>
        <v/>
      </c>
      <c r="ID43" s="2" t="str">
        <f ca="1">IF(ID$41="","",SUBSTITUTE(TEXTJOINARRAY("|",TRUE,FINDLINKS(DatasetLinks,MATCH("Dataset "&amp;MINDS!ID$55,OFFSET(DatasetLinks,0,0,1),0),"Experimental method ", ExperimentalMethodLookup, 1)),"#",MINDS!$C$19&amp;".A.e."&amp;"#")&amp;"|"&amp;SUBSTITUTE(TEXTJOINARRAY("|",TRUE,FINDLINKS(DatasetLinks,MATCH("Dataset "&amp;MINDS!ID$55,OFFSET(DatasetLinks,0,0,1),0),"Analysis method ", AnalysisMethodLookup, 1)),"#",MINDS!$C$19&amp;".A.a."&amp;"#"))</f>
        <v/>
      </c>
      <c r="IE43" s="2" t="str">
        <f ca="1">IF(IE$41="","",SUBSTITUTE(TEXTJOINARRAY("|",TRUE,FINDLINKS(DatasetLinks,MATCH("Dataset "&amp;MINDS!IE$55,OFFSET(DatasetLinks,0,0,1),0),"Experimental method ", ExperimentalMethodLookup, 1)),"#",MINDS!$C$19&amp;".A.e."&amp;"#")&amp;"|"&amp;SUBSTITUTE(TEXTJOINARRAY("|",TRUE,FINDLINKS(DatasetLinks,MATCH("Dataset "&amp;MINDS!IE$55,OFFSET(DatasetLinks,0,0,1),0),"Analysis method ", AnalysisMethodLookup, 1)),"#",MINDS!$C$19&amp;".A.a."&amp;"#"))</f>
        <v/>
      </c>
      <c r="IF43" s="2" t="str">
        <f ca="1">IF(IF$41="","",SUBSTITUTE(TEXTJOINARRAY("|",TRUE,FINDLINKS(DatasetLinks,MATCH("Dataset "&amp;MINDS!IF$55,OFFSET(DatasetLinks,0,0,1),0),"Experimental method ", ExperimentalMethodLookup, 1)),"#",MINDS!$C$19&amp;".A.e."&amp;"#")&amp;"|"&amp;SUBSTITUTE(TEXTJOINARRAY("|",TRUE,FINDLINKS(DatasetLinks,MATCH("Dataset "&amp;MINDS!IF$55,OFFSET(DatasetLinks,0,0,1),0),"Analysis method ", AnalysisMethodLookup, 1)),"#",MINDS!$C$19&amp;".A.a."&amp;"#"))</f>
        <v/>
      </c>
      <c r="IG43" s="2" t="str">
        <f ca="1">IF(IG$41="","",SUBSTITUTE(TEXTJOINARRAY("|",TRUE,FINDLINKS(DatasetLinks,MATCH("Dataset "&amp;MINDS!IG$55,OFFSET(DatasetLinks,0,0,1),0),"Experimental method ", ExperimentalMethodLookup, 1)),"#",MINDS!$C$19&amp;".A.e."&amp;"#")&amp;"|"&amp;SUBSTITUTE(TEXTJOINARRAY("|",TRUE,FINDLINKS(DatasetLinks,MATCH("Dataset "&amp;MINDS!IG$55,OFFSET(DatasetLinks,0,0,1),0),"Analysis method ", AnalysisMethodLookup, 1)),"#",MINDS!$C$19&amp;".A.a."&amp;"#"))</f>
        <v/>
      </c>
      <c r="IH43" s="2" t="str">
        <f ca="1">IF(IH$41="","",SUBSTITUTE(TEXTJOINARRAY("|",TRUE,FINDLINKS(DatasetLinks,MATCH("Dataset "&amp;MINDS!IH$55,OFFSET(DatasetLinks,0,0,1),0),"Experimental method ", ExperimentalMethodLookup, 1)),"#",MINDS!$C$19&amp;".A.e."&amp;"#")&amp;"|"&amp;SUBSTITUTE(TEXTJOINARRAY("|",TRUE,FINDLINKS(DatasetLinks,MATCH("Dataset "&amp;MINDS!IH$55,OFFSET(DatasetLinks,0,0,1),0),"Analysis method ", AnalysisMethodLookup, 1)),"#",MINDS!$C$19&amp;".A.a."&amp;"#"))</f>
        <v/>
      </c>
      <c r="II43" s="2" t="str">
        <f ca="1">IF(II$41="","",SUBSTITUTE(TEXTJOINARRAY("|",TRUE,FINDLINKS(DatasetLinks,MATCH("Dataset "&amp;MINDS!II$55,OFFSET(DatasetLinks,0,0,1),0),"Experimental method ", ExperimentalMethodLookup, 1)),"#",MINDS!$C$19&amp;".A.e."&amp;"#")&amp;"|"&amp;SUBSTITUTE(TEXTJOINARRAY("|",TRUE,FINDLINKS(DatasetLinks,MATCH("Dataset "&amp;MINDS!II$55,OFFSET(DatasetLinks,0,0,1),0),"Analysis method ", AnalysisMethodLookup, 1)),"#",MINDS!$C$19&amp;".A.a."&amp;"#"))</f>
        <v/>
      </c>
      <c r="IJ43" s="2" t="str">
        <f ca="1">IF(IJ$41="","",SUBSTITUTE(TEXTJOINARRAY("|",TRUE,FINDLINKS(DatasetLinks,MATCH("Dataset "&amp;MINDS!IJ$55,OFFSET(DatasetLinks,0,0,1),0),"Experimental method ", ExperimentalMethodLookup, 1)),"#",MINDS!$C$19&amp;".A.e."&amp;"#")&amp;"|"&amp;SUBSTITUTE(TEXTJOINARRAY("|",TRUE,FINDLINKS(DatasetLinks,MATCH("Dataset "&amp;MINDS!IJ$55,OFFSET(DatasetLinks,0,0,1),0),"Analysis method ", AnalysisMethodLookup, 1)),"#",MINDS!$C$19&amp;".A.a."&amp;"#"))</f>
        <v/>
      </c>
      <c r="IK43" s="2" t="str">
        <f ca="1">IF(IK$41="","",SUBSTITUTE(TEXTJOINARRAY("|",TRUE,FINDLINKS(DatasetLinks,MATCH("Dataset "&amp;MINDS!IK$55,OFFSET(DatasetLinks,0,0,1),0),"Experimental method ", ExperimentalMethodLookup, 1)),"#",MINDS!$C$19&amp;".A.e."&amp;"#")&amp;"|"&amp;SUBSTITUTE(TEXTJOINARRAY("|",TRUE,FINDLINKS(DatasetLinks,MATCH("Dataset "&amp;MINDS!IK$55,OFFSET(DatasetLinks,0,0,1),0),"Analysis method ", AnalysisMethodLookup, 1)),"#",MINDS!$C$19&amp;".A.a."&amp;"#"))</f>
        <v/>
      </c>
      <c r="IL43" s="2" t="str">
        <f ca="1">IF(IL$41="","",SUBSTITUTE(TEXTJOINARRAY("|",TRUE,FINDLINKS(DatasetLinks,MATCH("Dataset "&amp;MINDS!IL$55,OFFSET(DatasetLinks,0,0,1),0),"Experimental method ", ExperimentalMethodLookup, 1)),"#",MINDS!$C$19&amp;".A.e."&amp;"#")&amp;"|"&amp;SUBSTITUTE(TEXTJOINARRAY("|",TRUE,FINDLINKS(DatasetLinks,MATCH("Dataset "&amp;MINDS!IL$55,OFFSET(DatasetLinks,0,0,1),0),"Analysis method ", AnalysisMethodLookup, 1)),"#",MINDS!$C$19&amp;".A.a."&amp;"#"))</f>
        <v/>
      </c>
      <c r="IM43" s="2" t="str">
        <f ca="1">IF(IM$41="","",SUBSTITUTE(TEXTJOINARRAY("|",TRUE,FINDLINKS(DatasetLinks,MATCH("Dataset "&amp;MINDS!IM$55,OFFSET(DatasetLinks,0,0,1),0),"Experimental method ", ExperimentalMethodLookup, 1)),"#",MINDS!$C$19&amp;".A.e."&amp;"#")&amp;"|"&amp;SUBSTITUTE(TEXTJOINARRAY("|",TRUE,FINDLINKS(DatasetLinks,MATCH("Dataset "&amp;MINDS!IM$55,OFFSET(DatasetLinks,0,0,1),0),"Analysis method ", AnalysisMethodLookup, 1)),"#",MINDS!$C$19&amp;".A.a."&amp;"#"))</f>
        <v/>
      </c>
      <c r="IN43" s="2" t="str">
        <f ca="1">IF(IN$41="","",SUBSTITUTE(TEXTJOINARRAY("|",TRUE,FINDLINKS(DatasetLinks,MATCH("Dataset "&amp;MINDS!IN$55,OFFSET(DatasetLinks,0,0,1),0),"Experimental method ", ExperimentalMethodLookup, 1)),"#",MINDS!$C$19&amp;".A.e."&amp;"#")&amp;"|"&amp;SUBSTITUTE(TEXTJOINARRAY("|",TRUE,FINDLINKS(DatasetLinks,MATCH("Dataset "&amp;MINDS!IN$55,OFFSET(DatasetLinks,0,0,1),0),"Analysis method ", AnalysisMethodLookup, 1)),"#",MINDS!$C$19&amp;".A.a."&amp;"#"))</f>
        <v/>
      </c>
      <c r="IO43" s="2" t="str">
        <f ca="1">IF(IO$41="","",SUBSTITUTE(TEXTJOINARRAY("|",TRUE,FINDLINKS(DatasetLinks,MATCH("Dataset "&amp;MINDS!IO$55,OFFSET(DatasetLinks,0,0,1),0),"Experimental method ", ExperimentalMethodLookup, 1)),"#",MINDS!$C$19&amp;".A.e."&amp;"#")&amp;"|"&amp;SUBSTITUTE(TEXTJOINARRAY("|",TRUE,FINDLINKS(DatasetLinks,MATCH("Dataset "&amp;MINDS!IO$55,OFFSET(DatasetLinks,0,0,1),0),"Analysis method ", AnalysisMethodLookup, 1)),"#",MINDS!$C$19&amp;".A.a."&amp;"#"))</f>
        <v/>
      </c>
      <c r="IP43" s="2" t="str">
        <f ca="1">IF(IP$41="","",SUBSTITUTE(TEXTJOINARRAY("|",TRUE,FINDLINKS(DatasetLinks,MATCH("Dataset "&amp;MINDS!IP$55,OFFSET(DatasetLinks,0,0,1),0),"Experimental method ", ExperimentalMethodLookup, 1)),"#",MINDS!$C$19&amp;".A.e."&amp;"#")&amp;"|"&amp;SUBSTITUTE(TEXTJOINARRAY("|",TRUE,FINDLINKS(DatasetLinks,MATCH("Dataset "&amp;MINDS!IP$55,OFFSET(DatasetLinks,0,0,1),0),"Analysis method ", AnalysisMethodLookup, 1)),"#",MINDS!$C$19&amp;".A.a."&amp;"#"))</f>
        <v/>
      </c>
      <c r="IQ43" s="2" t="str">
        <f ca="1">IF(IQ$41="","",SUBSTITUTE(TEXTJOINARRAY("|",TRUE,FINDLINKS(DatasetLinks,MATCH("Dataset "&amp;MINDS!IQ$55,OFFSET(DatasetLinks,0,0,1),0),"Experimental method ", ExperimentalMethodLookup, 1)),"#",MINDS!$C$19&amp;".A.e."&amp;"#")&amp;"|"&amp;SUBSTITUTE(TEXTJOINARRAY("|",TRUE,FINDLINKS(DatasetLinks,MATCH("Dataset "&amp;MINDS!IQ$55,OFFSET(DatasetLinks,0,0,1),0),"Analysis method ", AnalysisMethodLookup, 1)),"#",MINDS!$C$19&amp;".A.a."&amp;"#"))</f>
        <v/>
      </c>
      <c r="IR43" s="2" t="str">
        <f ca="1">IF(IR$41="","",SUBSTITUTE(TEXTJOINARRAY("|",TRUE,FINDLINKS(DatasetLinks,MATCH("Dataset "&amp;MINDS!IR$55,OFFSET(DatasetLinks,0,0,1),0),"Experimental method ", ExperimentalMethodLookup, 1)),"#",MINDS!$C$19&amp;".A.e."&amp;"#")&amp;"|"&amp;SUBSTITUTE(TEXTJOINARRAY("|",TRUE,FINDLINKS(DatasetLinks,MATCH("Dataset "&amp;MINDS!IR$55,OFFSET(DatasetLinks,0,0,1),0),"Analysis method ", AnalysisMethodLookup, 1)),"#",MINDS!$C$19&amp;".A.a."&amp;"#"))</f>
        <v/>
      </c>
      <c r="IS43" s="2" t="str">
        <f ca="1">IF(IS$41="","",SUBSTITUTE(TEXTJOINARRAY("|",TRUE,FINDLINKS(DatasetLinks,MATCH("Dataset "&amp;MINDS!IS$55,OFFSET(DatasetLinks,0,0,1),0),"Experimental method ", ExperimentalMethodLookup, 1)),"#",MINDS!$C$19&amp;".A.e."&amp;"#")&amp;"|"&amp;SUBSTITUTE(TEXTJOINARRAY("|",TRUE,FINDLINKS(DatasetLinks,MATCH("Dataset "&amp;MINDS!IS$55,OFFSET(DatasetLinks,0,0,1),0),"Analysis method ", AnalysisMethodLookup, 1)),"#",MINDS!$C$19&amp;".A.a."&amp;"#"))</f>
        <v/>
      </c>
      <c r="IT43" s="2" t="str">
        <f ca="1">IF(IT$41="","",SUBSTITUTE(TEXTJOINARRAY("|",TRUE,FINDLINKS(DatasetLinks,MATCH("Dataset "&amp;MINDS!IT$55,OFFSET(DatasetLinks,0,0,1),0),"Experimental method ", ExperimentalMethodLookup, 1)),"#",MINDS!$C$19&amp;".A.e."&amp;"#")&amp;"|"&amp;SUBSTITUTE(TEXTJOINARRAY("|",TRUE,FINDLINKS(DatasetLinks,MATCH("Dataset "&amp;MINDS!IT$55,OFFSET(DatasetLinks,0,0,1),0),"Analysis method ", AnalysisMethodLookup, 1)),"#",MINDS!$C$19&amp;".A.a."&amp;"#"))</f>
        <v/>
      </c>
      <c r="IU43" s="2" t="str">
        <f ca="1">IF(IU$41="","",SUBSTITUTE(TEXTJOINARRAY("|",TRUE,FINDLINKS(DatasetLinks,MATCH("Dataset "&amp;MINDS!IU$55,OFFSET(DatasetLinks,0,0,1),0),"Experimental method ", ExperimentalMethodLookup, 1)),"#",MINDS!$C$19&amp;".A.e."&amp;"#")&amp;"|"&amp;SUBSTITUTE(TEXTJOINARRAY("|",TRUE,FINDLINKS(DatasetLinks,MATCH("Dataset "&amp;MINDS!IU$55,OFFSET(DatasetLinks,0,0,1),0),"Analysis method ", AnalysisMethodLookup, 1)),"#",MINDS!$C$19&amp;".A.a."&amp;"#"))</f>
        <v/>
      </c>
      <c r="IV43" s="2" t="str">
        <f ca="1">IF(IV$41="","",SUBSTITUTE(TEXTJOINARRAY("|",TRUE,FINDLINKS(DatasetLinks,MATCH("Dataset "&amp;MINDS!IV$55,OFFSET(DatasetLinks,0,0,1),0),"Experimental method ", ExperimentalMethodLookup, 1)),"#",MINDS!$C$19&amp;".A.e."&amp;"#")&amp;"|"&amp;SUBSTITUTE(TEXTJOINARRAY("|",TRUE,FINDLINKS(DatasetLinks,MATCH("Dataset "&amp;MINDS!IV$55,OFFSET(DatasetLinks,0,0,1),0),"Analysis method ", AnalysisMethodLookup, 1)),"#",MINDS!$C$19&amp;".A.a."&amp;"#"))</f>
        <v/>
      </c>
    </row>
    <row r="44" spans="1:256" x14ac:dyDescent="0.2">
      <c r="A44" s="3" t="s">
        <v>9</v>
      </c>
    </row>
    <row r="45" spans="1:256" x14ac:dyDescent="0.2">
      <c r="A45" s="3" t="s">
        <v>10</v>
      </c>
      <c r="C45" s="2" t="str">
        <f>IF(C$41="","",MINDS!$C$15)</f>
        <v/>
      </c>
      <c r="D45" s="2" t="str">
        <f>IF(D$41="","",MINDS!$C$15)</f>
        <v/>
      </c>
      <c r="E45" s="2" t="str">
        <f>IF(E$41="","",MINDS!$C$15)</f>
        <v/>
      </c>
      <c r="F45" s="2" t="str">
        <f>IF(F$41="","",MINDS!$C$15)</f>
        <v/>
      </c>
      <c r="G45" s="2" t="str">
        <f>IF(G$41="","",MINDS!$C$15)</f>
        <v/>
      </c>
      <c r="H45" s="2" t="str">
        <f>IF(H$41="","",MINDS!$C$15)</f>
        <v/>
      </c>
      <c r="I45" s="2" t="str">
        <f>IF(I$41="","",MINDS!$C$15)</f>
        <v/>
      </c>
      <c r="J45" s="2" t="str">
        <f>IF(J$41="","",MINDS!$C$15)</f>
        <v/>
      </c>
      <c r="K45" s="2" t="str">
        <f>IF(K$41="","",MINDS!$C$15)</f>
        <v/>
      </c>
      <c r="L45" s="2" t="str">
        <f>IF(L$41="","",MINDS!$C$15)</f>
        <v/>
      </c>
      <c r="M45" s="2" t="str">
        <f>IF(M$41="","",MINDS!$C$15)</f>
        <v/>
      </c>
      <c r="N45" s="2" t="str">
        <f>IF(N$41="","",MINDS!$C$15)</f>
        <v/>
      </c>
      <c r="O45" s="2" t="str">
        <f>IF(O$41="","",MINDS!$C$15)</f>
        <v/>
      </c>
      <c r="P45" s="2" t="str">
        <f>IF(P$41="","",MINDS!$C$15)</f>
        <v/>
      </c>
      <c r="Q45" s="2" t="str">
        <f>IF(Q$41="","",MINDS!$C$15)</f>
        <v/>
      </c>
      <c r="R45" s="2" t="str">
        <f>IF(R$41="","",MINDS!$C$15)</f>
        <v/>
      </c>
      <c r="S45" s="2" t="str">
        <f>IF(S$41="","",MINDS!$C$15)</f>
        <v/>
      </c>
      <c r="T45" s="2" t="str">
        <f>IF(T$41="","",MINDS!$C$15)</f>
        <v/>
      </c>
      <c r="U45" s="2" t="str">
        <f>IF(U$41="","",MINDS!$C$15)</f>
        <v/>
      </c>
      <c r="V45" s="2" t="str">
        <f>IF(V$41="","",MINDS!$C$15)</f>
        <v/>
      </c>
      <c r="W45" s="2" t="str">
        <f>IF(W$41="","",MINDS!$C$15)</f>
        <v/>
      </c>
      <c r="X45" s="2" t="str">
        <f>IF(X$41="","",MINDS!$C$15)</f>
        <v/>
      </c>
      <c r="Y45" s="2" t="str">
        <f>IF(Y$41="","",MINDS!$C$15)</f>
        <v/>
      </c>
      <c r="Z45" s="2" t="str">
        <f>IF(Z$41="","",MINDS!$C$15)</f>
        <v/>
      </c>
      <c r="AA45" s="2" t="str">
        <f>IF(AA$41="","",MINDS!$C$15)</f>
        <v/>
      </c>
      <c r="AB45" s="2" t="str">
        <f>IF(AB$41="","",MINDS!$C$15)</f>
        <v/>
      </c>
      <c r="AC45" s="2" t="str">
        <f>IF(AC$41="","",MINDS!$C$15)</f>
        <v/>
      </c>
      <c r="AD45" s="2" t="str">
        <f>IF(AD$41="","",MINDS!$C$15)</f>
        <v/>
      </c>
      <c r="AE45" s="2" t="str">
        <f>IF(AE$41="","",MINDS!$C$15)</f>
        <v/>
      </c>
      <c r="AF45" s="2" t="str">
        <f>IF(AF$41="","",MINDS!$C$15)</f>
        <v/>
      </c>
      <c r="AG45" s="2" t="str">
        <f>IF(AG$41="","",MINDS!$C$15)</f>
        <v/>
      </c>
      <c r="AH45" s="2" t="str">
        <f>IF(AH$41="","",MINDS!$C$15)</f>
        <v/>
      </c>
      <c r="AI45" s="2" t="str">
        <f>IF(AI$41="","",MINDS!$C$15)</f>
        <v/>
      </c>
      <c r="AJ45" s="2" t="str">
        <f>IF(AJ$41="","",MINDS!$C$15)</f>
        <v/>
      </c>
      <c r="AK45" s="2" t="str">
        <f>IF(AK$41="","",MINDS!$C$15)</f>
        <v/>
      </c>
      <c r="AL45" s="2" t="str">
        <f>IF(AL$41="","",MINDS!$C$15)</f>
        <v/>
      </c>
      <c r="AM45" s="2" t="str">
        <f>IF(AM$41="","",MINDS!$C$15)</f>
        <v/>
      </c>
      <c r="AN45" s="2" t="str">
        <f>IF(AN$41="","",MINDS!$C$15)</f>
        <v/>
      </c>
      <c r="AO45" s="2" t="str">
        <f>IF(AO$41="","",MINDS!$C$15)</f>
        <v/>
      </c>
      <c r="AP45" s="2" t="str">
        <f>IF(AP$41="","",MINDS!$C$15)</f>
        <v/>
      </c>
      <c r="AQ45" s="2" t="str">
        <f>IF(AQ$41="","",MINDS!$C$15)</f>
        <v/>
      </c>
      <c r="AR45" s="2" t="str">
        <f>IF(AR$41="","",MINDS!$C$15)</f>
        <v/>
      </c>
      <c r="AS45" s="2" t="str">
        <f>IF(AS$41="","",MINDS!$C$15)</f>
        <v/>
      </c>
      <c r="AT45" s="2" t="str">
        <f>IF(AT$41="","",MINDS!$C$15)</f>
        <v/>
      </c>
      <c r="AU45" s="2" t="str">
        <f>IF(AU$41="","",MINDS!$C$15)</f>
        <v/>
      </c>
      <c r="AV45" s="2" t="str">
        <f>IF(AV$41="","",MINDS!$C$15)</f>
        <v/>
      </c>
      <c r="AW45" s="2" t="str">
        <f>IF(AW$41="","",MINDS!$C$15)</f>
        <v/>
      </c>
      <c r="AX45" s="2" t="str">
        <f>IF(AX$41="","",MINDS!$C$15)</f>
        <v/>
      </c>
      <c r="AY45" s="2" t="str">
        <f>IF(AY$41="","",MINDS!$C$15)</f>
        <v/>
      </c>
      <c r="AZ45" s="2" t="str">
        <f>IF(AZ$41="","",MINDS!$C$15)</f>
        <v/>
      </c>
      <c r="BA45" s="2" t="str">
        <f>IF(BA$41="","",MINDS!$C$15)</f>
        <v/>
      </c>
      <c r="BB45" s="2" t="str">
        <f>IF(BB$41="","",MINDS!$C$15)</f>
        <v/>
      </c>
      <c r="BC45" s="2" t="str">
        <f>IF(BC$41="","",MINDS!$C$15)</f>
        <v/>
      </c>
      <c r="BD45" s="2" t="str">
        <f>IF(BD$41="","",MINDS!$C$15)</f>
        <v/>
      </c>
      <c r="BE45" s="2" t="str">
        <f>IF(BE$41="","",MINDS!$C$15)</f>
        <v/>
      </c>
      <c r="BF45" s="2" t="str">
        <f>IF(BF$41="","",MINDS!$C$15)</f>
        <v/>
      </c>
      <c r="BG45" s="2" t="str">
        <f>IF(BG$41="","",MINDS!$C$15)</f>
        <v/>
      </c>
      <c r="BH45" s="2" t="str">
        <f>IF(BH$41="","",MINDS!$C$15)</f>
        <v/>
      </c>
      <c r="BI45" s="2" t="str">
        <f>IF(BI$41="","",MINDS!$C$15)</f>
        <v/>
      </c>
      <c r="BJ45" s="2" t="str">
        <f>IF(BJ$41="","",MINDS!$C$15)</f>
        <v/>
      </c>
      <c r="BK45" s="2" t="str">
        <f>IF(BK$41="","",MINDS!$C$15)</f>
        <v/>
      </c>
      <c r="BL45" s="2" t="str">
        <f>IF(BL$41="","",MINDS!$C$15)</f>
        <v/>
      </c>
      <c r="BM45" s="2" t="str">
        <f>IF(BM$41="","",MINDS!$C$15)</f>
        <v/>
      </c>
      <c r="BN45" s="2" t="str">
        <f>IF(BN$41="","",MINDS!$C$15)</f>
        <v/>
      </c>
      <c r="BO45" s="2" t="str">
        <f>IF(BO$41="","",MINDS!$C$15)</f>
        <v/>
      </c>
      <c r="BP45" s="2" t="str">
        <f>IF(BP$41="","",MINDS!$C$15)</f>
        <v/>
      </c>
      <c r="BQ45" s="2" t="str">
        <f>IF(BQ$41="","",MINDS!$C$15)</f>
        <v/>
      </c>
      <c r="BR45" s="2" t="str">
        <f>IF(BR$41="","",MINDS!$C$15)</f>
        <v/>
      </c>
      <c r="BS45" s="2" t="str">
        <f>IF(BS$41="","",MINDS!$C$15)</f>
        <v/>
      </c>
      <c r="BT45" s="2" t="str">
        <f>IF(BT$41="","",MINDS!$C$15)</f>
        <v/>
      </c>
      <c r="BU45" s="2" t="str">
        <f>IF(BU$41="","",MINDS!$C$15)</f>
        <v/>
      </c>
      <c r="BV45" s="2" t="str">
        <f>IF(BV$41="","",MINDS!$C$15)</f>
        <v/>
      </c>
      <c r="BW45" s="2" t="str">
        <f>IF(BW$41="","",MINDS!$C$15)</f>
        <v/>
      </c>
      <c r="BX45" s="2" t="str">
        <f>IF(BX$41="","",MINDS!$C$15)</f>
        <v/>
      </c>
      <c r="BY45" s="2" t="str">
        <f>IF(BY$41="","",MINDS!$C$15)</f>
        <v/>
      </c>
      <c r="BZ45" s="2" t="str">
        <f>IF(BZ$41="","",MINDS!$C$15)</f>
        <v/>
      </c>
      <c r="CA45" s="2" t="str">
        <f>IF(CA$41="","",MINDS!$C$15)</f>
        <v/>
      </c>
      <c r="CB45" s="2" t="str">
        <f>IF(CB$41="","",MINDS!$C$15)</f>
        <v/>
      </c>
      <c r="CC45" s="2" t="str">
        <f>IF(CC$41="","",MINDS!$C$15)</f>
        <v/>
      </c>
      <c r="CD45" s="2" t="str">
        <f>IF(CD$41="","",MINDS!$C$15)</f>
        <v/>
      </c>
      <c r="CE45" s="2" t="str">
        <f>IF(CE$41="","",MINDS!$C$15)</f>
        <v/>
      </c>
      <c r="CF45" s="2" t="str">
        <f>IF(CF$41="","",MINDS!$C$15)</f>
        <v/>
      </c>
      <c r="CG45" s="2" t="str">
        <f>IF(CG$41="","",MINDS!$C$15)</f>
        <v/>
      </c>
      <c r="CH45" s="2" t="str">
        <f>IF(CH$41="","",MINDS!$C$15)</f>
        <v/>
      </c>
      <c r="CI45" s="2" t="str">
        <f>IF(CI$41="","",MINDS!$C$15)</f>
        <v/>
      </c>
      <c r="CJ45" s="2" t="str">
        <f>IF(CJ$41="","",MINDS!$C$15)</f>
        <v/>
      </c>
      <c r="CK45" s="2" t="str">
        <f>IF(CK$41="","",MINDS!$C$15)</f>
        <v/>
      </c>
      <c r="CL45" s="2" t="str">
        <f>IF(CL$41="","",MINDS!$C$15)</f>
        <v/>
      </c>
      <c r="CM45" s="2" t="str">
        <f>IF(CM$41="","",MINDS!$C$15)</f>
        <v/>
      </c>
      <c r="CN45" s="2" t="str">
        <f>IF(CN$41="","",MINDS!$C$15)</f>
        <v/>
      </c>
      <c r="CO45" s="2" t="str">
        <f>IF(CO$41="","",MINDS!$C$15)</f>
        <v/>
      </c>
      <c r="CP45" s="2" t="str">
        <f>IF(CP$41="","",MINDS!$C$15)</f>
        <v/>
      </c>
      <c r="CQ45" s="2" t="str">
        <f>IF(CQ$41="","",MINDS!$C$15)</f>
        <v/>
      </c>
      <c r="CR45" s="2" t="str">
        <f>IF(CR$41="","",MINDS!$C$15)</f>
        <v/>
      </c>
      <c r="CS45" s="2" t="str">
        <f>IF(CS$41="","",MINDS!$C$15)</f>
        <v/>
      </c>
      <c r="CT45" s="2" t="str">
        <f>IF(CT$41="","",MINDS!$C$15)</f>
        <v/>
      </c>
      <c r="CU45" s="2" t="str">
        <f>IF(CU$41="","",MINDS!$C$15)</f>
        <v/>
      </c>
      <c r="CV45" s="2" t="str">
        <f>IF(CV$41="","",MINDS!$C$15)</f>
        <v/>
      </c>
      <c r="CW45" s="2" t="str">
        <f>IF(CW$41="","",MINDS!$C$15)</f>
        <v/>
      </c>
      <c r="CX45" s="2" t="str">
        <f>IF(CX$41="","",MINDS!$C$15)</f>
        <v/>
      </c>
      <c r="CY45" s="2" t="str">
        <f>IF(CY$41="","",MINDS!$C$15)</f>
        <v/>
      </c>
      <c r="CZ45" s="2" t="str">
        <f>IF(CZ$41="","",MINDS!$C$15)</f>
        <v/>
      </c>
      <c r="DA45" s="2" t="str">
        <f>IF(DA$41="","",MINDS!$C$15)</f>
        <v/>
      </c>
      <c r="DB45" s="2" t="str">
        <f>IF(DB$41="","",MINDS!$C$15)</f>
        <v/>
      </c>
      <c r="DC45" s="2" t="str">
        <f>IF(DC$41="","",MINDS!$C$15)</f>
        <v/>
      </c>
      <c r="DD45" s="2" t="str">
        <f>IF(DD$41="","",MINDS!$C$15)</f>
        <v/>
      </c>
      <c r="DE45" s="2" t="str">
        <f>IF(DE$41="","",MINDS!$C$15)</f>
        <v/>
      </c>
      <c r="DF45" s="2" t="str">
        <f>IF(DF$41="","",MINDS!$C$15)</f>
        <v/>
      </c>
      <c r="DG45" s="2" t="str">
        <f>IF(DG$41="","",MINDS!$C$15)</f>
        <v/>
      </c>
      <c r="DH45" s="2" t="str">
        <f>IF(DH$41="","",MINDS!$C$15)</f>
        <v/>
      </c>
      <c r="DI45" s="2" t="str">
        <f>IF(DI$41="","",MINDS!$C$15)</f>
        <v/>
      </c>
      <c r="DJ45" s="2" t="str">
        <f>IF(DJ$41="","",MINDS!$C$15)</f>
        <v/>
      </c>
      <c r="DK45" s="2" t="str">
        <f>IF(DK$41="","",MINDS!$C$15)</f>
        <v/>
      </c>
      <c r="DL45" s="2" t="str">
        <f>IF(DL$41="","",MINDS!$C$15)</f>
        <v/>
      </c>
      <c r="DM45" s="2" t="str">
        <f>IF(DM$41="","",MINDS!$C$15)</f>
        <v/>
      </c>
      <c r="DN45" s="2" t="str">
        <f>IF(DN$41="","",MINDS!$C$15)</f>
        <v/>
      </c>
      <c r="DO45" s="2" t="str">
        <f>IF(DO$41="","",MINDS!$C$15)</f>
        <v/>
      </c>
      <c r="DP45" s="2" t="str">
        <f>IF(DP$41="","",MINDS!$C$15)</f>
        <v/>
      </c>
      <c r="DQ45" s="2" t="str">
        <f>IF(DQ$41="","",MINDS!$C$15)</f>
        <v/>
      </c>
      <c r="DR45" s="2" t="str">
        <f>IF(DR$41="","",MINDS!$C$15)</f>
        <v/>
      </c>
      <c r="DS45" s="2" t="str">
        <f>IF(DS$41="","",MINDS!$C$15)</f>
        <v/>
      </c>
      <c r="DT45" s="2" t="str">
        <f>IF(DT$41="","",MINDS!$C$15)</f>
        <v/>
      </c>
      <c r="DU45" s="2" t="str">
        <f>IF(DU$41="","",MINDS!$C$15)</f>
        <v/>
      </c>
      <c r="DV45" s="2" t="str">
        <f>IF(DV$41="","",MINDS!$C$15)</f>
        <v/>
      </c>
      <c r="DW45" s="2" t="str">
        <f>IF(DW$41="","",MINDS!$C$15)</f>
        <v/>
      </c>
      <c r="DX45" s="2" t="str">
        <f>IF(DX$41="","",MINDS!$C$15)</f>
        <v/>
      </c>
      <c r="DY45" s="2" t="str">
        <f>IF(DY$41="","",MINDS!$C$15)</f>
        <v/>
      </c>
      <c r="DZ45" s="2" t="str">
        <f>IF(DZ$41="","",MINDS!$C$15)</f>
        <v/>
      </c>
      <c r="EA45" s="2" t="str">
        <f>IF(EA$41="","",MINDS!$C$15)</f>
        <v/>
      </c>
      <c r="EB45" s="2" t="str">
        <f>IF(EB$41="","",MINDS!$C$15)</f>
        <v/>
      </c>
      <c r="EC45" s="2" t="str">
        <f>IF(EC$41="","",MINDS!$C$15)</f>
        <v/>
      </c>
      <c r="ED45" s="2" t="str">
        <f>IF(ED$41="","",MINDS!$C$15)</f>
        <v/>
      </c>
      <c r="EE45" s="2" t="str">
        <f>IF(EE$41="","",MINDS!$C$15)</f>
        <v/>
      </c>
      <c r="EF45" s="2" t="str">
        <f>IF(EF$41="","",MINDS!$C$15)</f>
        <v/>
      </c>
      <c r="EG45" s="2" t="str">
        <f>IF(EG$41="","",MINDS!$C$15)</f>
        <v/>
      </c>
      <c r="EH45" s="2" t="str">
        <f>IF(EH$41="","",MINDS!$C$15)</f>
        <v/>
      </c>
      <c r="EI45" s="2" t="str">
        <f>IF(EI$41="","",MINDS!$C$15)</f>
        <v/>
      </c>
      <c r="EJ45" s="2" t="str">
        <f>IF(EJ$41="","",MINDS!$C$15)</f>
        <v/>
      </c>
      <c r="EK45" s="2" t="str">
        <f>IF(EK$41="","",MINDS!$C$15)</f>
        <v/>
      </c>
      <c r="EL45" s="2" t="str">
        <f>IF(EL$41="","",MINDS!$C$15)</f>
        <v/>
      </c>
      <c r="EM45" s="2" t="str">
        <f>IF(EM$41="","",MINDS!$C$15)</f>
        <v/>
      </c>
      <c r="EN45" s="2" t="str">
        <f>IF(EN$41="","",MINDS!$C$15)</f>
        <v/>
      </c>
      <c r="EO45" s="2" t="str">
        <f>IF(EO$41="","",MINDS!$C$15)</f>
        <v/>
      </c>
      <c r="EP45" s="2" t="str">
        <f>IF(EP$41="","",MINDS!$C$15)</f>
        <v/>
      </c>
      <c r="EQ45" s="2" t="str">
        <f>IF(EQ$41="","",MINDS!$C$15)</f>
        <v/>
      </c>
      <c r="ER45" s="2" t="str">
        <f>IF(ER$41="","",MINDS!$C$15)</f>
        <v/>
      </c>
      <c r="ES45" s="2" t="str">
        <f>IF(ES$41="","",MINDS!$C$15)</f>
        <v/>
      </c>
      <c r="ET45" s="2" t="str">
        <f>IF(ET$41="","",MINDS!$C$15)</f>
        <v/>
      </c>
      <c r="EU45" s="2" t="str">
        <f>IF(EU$41="","",MINDS!$C$15)</f>
        <v/>
      </c>
      <c r="EV45" s="2" t="str">
        <f>IF(EV$41="","",MINDS!$C$15)</f>
        <v/>
      </c>
      <c r="EW45" s="2" t="str">
        <f>IF(EW$41="","",MINDS!$C$15)</f>
        <v/>
      </c>
      <c r="EX45" s="2" t="str">
        <f>IF(EX$41="","",MINDS!$C$15)</f>
        <v/>
      </c>
      <c r="EY45" s="2" t="str">
        <f>IF(EY$41="","",MINDS!$C$15)</f>
        <v/>
      </c>
      <c r="EZ45" s="2" t="str">
        <f>IF(EZ$41="","",MINDS!$C$15)</f>
        <v/>
      </c>
      <c r="FA45" s="2" t="str">
        <f>IF(FA$41="","",MINDS!$C$15)</f>
        <v/>
      </c>
      <c r="FB45" s="2" t="str">
        <f>IF(FB$41="","",MINDS!$C$15)</f>
        <v/>
      </c>
      <c r="FC45" s="2" t="str">
        <f>IF(FC$41="","",MINDS!$C$15)</f>
        <v/>
      </c>
      <c r="FD45" s="2" t="str">
        <f>IF(FD$41="","",MINDS!$C$15)</f>
        <v/>
      </c>
      <c r="FE45" s="2" t="str">
        <f>IF(FE$41="","",MINDS!$C$15)</f>
        <v/>
      </c>
      <c r="FF45" s="2" t="str">
        <f>IF(FF$41="","",MINDS!$C$15)</f>
        <v/>
      </c>
      <c r="FG45" s="2" t="str">
        <f>IF(FG$41="","",MINDS!$C$15)</f>
        <v/>
      </c>
      <c r="FH45" s="2" t="str">
        <f>IF(FH$41="","",MINDS!$C$15)</f>
        <v/>
      </c>
      <c r="FI45" s="2" t="str">
        <f>IF(FI$41="","",MINDS!$C$15)</f>
        <v/>
      </c>
      <c r="FJ45" s="2" t="str">
        <f>IF(FJ$41="","",MINDS!$C$15)</f>
        <v/>
      </c>
      <c r="FK45" s="2" t="str">
        <f>IF(FK$41="","",MINDS!$C$15)</f>
        <v/>
      </c>
      <c r="FL45" s="2" t="str">
        <f>IF(FL$41="","",MINDS!$C$15)</f>
        <v/>
      </c>
      <c r="FM45" s="2" t="str">
        <f>IF(FM$41="","",MINDS!$C$15)</f>
        <v/>
      </c>
      <c r="FN45" s="2" t="str">
        <f>IF(FN$41="","",MINDS!$C$15)</f>
        <v/>
      </c>
      <c r="FO45" s="2" t="str">
        <f>IF(FO$41="","",MINDS!$C$15)</f>
        <v/>
      </c>
      <c r="FP45" s="2" t="str">
        <f>IF(FP$41="","",MINDS!$C$15)</f>
        <v/>
      </c>
      <c r="FQ45" s="2" t="str">
        <f>IF(FQ$41="","",MINDS!$C$15)</f>
        <v/>
      </c>
      <c r="FR45" s="2" t="str">
        <f>IF(FR$41="","",MINDS!$C$15)</f>
        <v/>
      </c>
      <c r="FS45" s="2" t="str">
        <f>IF(FS$41="","",MINDS!$C$15)</f>
        <v/>
      </c>
      <c r="FT45" s="2" t="str">
        <f>IF(FT$41="","",MINDS!$C$15)</f>
        <v/>
      </c>
      <c r="FU45" s="2" t="str">
        <f>IF(FU$41="","",MINDS!$C$15)</f>
        <v/>
      </c>
      <c r="FV45" s="2" t="str">
        <f>IF(FV$41="","",MINDS!$C$15)</f>
        <v/>
      </c>
      <c r="FW45" s="2" t="str">
        <f>IF(FW$41="","",MINDS!$C$15)</f>
        <v/>
      </c>
      <c r="FX45" s="2" t="str">
        <f>IF(FX$41="","",MINDS!$C$15)</f>
        <v/>
      </c>
      <c r="FY45" s="2" t="str">
        <f>IF(FY$41="","",MINDS!$C$15)</f>
        <v/>
      </c>
      <c r="FZ45" s="2" t="str">
        <f>IF(FZ$41="","",MINDS!$C$15)</f>
        <v/>
      </c>
      <c r="GA45" s="2" t="str">
        <f>IF(GA$41="","",MINDS!$C$15)</f>
        <v/>
      </c>
      <c r="GB45" s="2" t="str">
        <f>IF(GB$41="","",MINDS!$C$15)</f>
        <v/>
      </c>
      <c r="GC45" s="2" t="str">
        <f>IF(GC$41="","",MINDS!$C$15)</f>
        <v/>
      </c>
      <c r="GD45" s="2" t="str">
        <f>IF(GD$41="","",MINDS!$C$15)</f>
        <v/>
      </c>
      <c r="GE45" s="2" t="str">
        <f>IF(GE$41="","",MINDS!$C$15)</f>
        <v/>
      </c>
      <c r="GF45" s="2" t="str">
        <f>IF(GF$41="","",MINDS!$C$15)</f>
        <v/>
      </c>
      <c r="GG45" s="2" t="str">
        <f>IF(GG$41="","",MINDS!$C$15)</f>
        <v/>
      </c>
      <c r="GH45" s="2" t="str">
        <f>IF(GH$41="","",MINDS!$C$15)</f>
        <v/>
      </c>
      <c r="GI45" s="2" t="str">
        <f>IF(GI$41="","",MINDS!$C$15)</f>
        <v/>
      </c>
      <c r="GJ45" s="2" t="str">
        <f>IF(GJ$41="","",MINDS!$C$15)</f>
        <v/>
      </c>
      <c r="GK45" s="2" t="str">
        <f>IF(GK$41="","",MINDS!$C$15)</f>
        <v/>
      </c>
      <c r="GL45" s="2" t="str">
        <f>IF(GL$41="","",MINDS!$C$15)</f>
        <v/>
      </c>
      <c r="GM45" s="2" t="str">
        <f>IF(GM$41="","",MINDS!$C$15)</f>
        <v/>
      </c>
      <c r="GN45" s="2" t="str">
        <f>IF(GN$41="","",MINDS!$C$15)</f>
        <v/>
      </c>
      <c r="GO45" s="2" t="str">
        <f>IF(GO$41="","",MINDS!$C$15)</f>
        <v/>
      </c>
      <c r="GP45" s="2" t="str">
        <f>IF(GP$41="","",MINDS!$C$15)</f>
        <v/>
      </c>
      <c r="GQ45" s="2" t="str">
        <f>IF(GQ$41="","",MINDS!$C$15)</f>
        <v/>
      </c>
      <c r="GR45" s="2" t="str">
        <f>IF(GR$41="","",MINDS!$C$15)</f>
        <v/>
      </c>
      <c r="GS45" s="2" t="str">
        <f>IF(GS$41="","",MINDS!$C$15)</f>
        <v/>
      </c>
      <c r="GT45" s="2" t="str">
        <f>IF(GT$41="","",MINDS!$C$15)</f>
        <v/>
      </c>
      <c r="GU45" s="2" t="str">
        <f>IF(GU$41="","",MINDS!$C$15)</f>
        <v/>
      </c>
      <c r="GV45" s="2" t="str">
        <f>IF(GV$41="","",MINDS!$C$15)</f>
        <v/>
      </c>
      <c r="GW45" s="2" t="str">
        <f>IF(GW$41="","",MINDS!$C$15)</f>
        <v/>
      </c>
      <c r="GX45" s="2" t="str">
        <f>IF(GX$41="","",MINDS!$C$15)</f>
        <v/>
      </c>
      <c r="GY45" s="2" t="str">
        <f>IF(GY$41="","",MINDS!$C$15)</f>
        <v/>
      </c>
      <c r="GZ45" s="2" t="str">
        <f>IF(GZ$41="","",MINDS!$C$15)</f>
        <v/>
      </c>
      <c r="HA45" s="2" t="str">
        <f>IF(HA$41="","",MINDS!$C$15)</f>
        <v/>
      </c>
      <c r="HB45" s="2" t="str">
        <f>IF(HB$41="","",MINDS!$C$15)</f>
        <v/>
      </c>
      <c r="HC45" s="2" t="str">
        <f>IF(HC$41="","",MINDS!$C$15)</f>
        <v/>
      </c>
      <c r="HD45" s="2" t="str">
        <f>IF(HD$41="","",MINDS!$C$15)</f>
        <v/>
      </c>
      <c r="HE45" s="2" t="str">
        <f>IF(HE$41="","",MINDS!$C$15)</f>
        <v/>
      </c>
      <c r="HF45" s="2" t="str">
        <f>IF(HF$41="","",MINDS!$C$15)</f>
        <v/>
      </c>
      <c r="HG45" s="2" t="str">
        <f>IF(HG$41="","",MINDS!$C$15)</f>
        <v/>
      </c>
      <c r="HH45" s="2" t="str">
        <f>IF(HH$41="","",MINDS!$C$15)</f>
        <v/>
      </c>
      <c r="HI45" s="2" t="str">
        <f>IF(HI$41="","",MINDS!$C$15)</f>
        <v/>
      </c>
      <c r="HJ45" s="2" t="str">
        <f>IF(HJ$41="","",MINDS!$C$15)</f>
        <v/>
      </c>
      <c r="HK45" s="2" t="str">
        <f>IF(HK$41="","",MINDS!$C$15)</f>
        <v/>
      </c>
      <c r="HL45" s="2" t="str">
        <f>IF(HL$41="","",MINDS!$C$15)</f>
        <v/>
      </c>
      <c r="HM45" s="2" t="str">
        <f>IF(HM$41="","",MINDS!$C$15)</f>
        <v/>
      </c>
      <c r="HN45" s="2" t="str">
        <f>IF(HN$41="","",MINDS!$C$15)</f>
        <v/>
      </c>
      <c r="HO45" s="2" t="str">
        <f>IF(HO$41="","",MINDS!$C$15)</f>
        <v/>
      </c>
      <c r="HP45" s="2" t="str">
        <f>IF(HP$41="","",MINDS!$C$15)</f>
        <v/>
      </c>
      <c r="HQ45" s="2" t="str">
        <f>IF(HQ$41="","",MINDS!$C$15)</f>
        <v/>
      </c>
      <c r="HR45" s="2" t="str">
        <f>IF(HR$41="","",MINDS!$C$15)</f>
        <v/>
      </c>
      <c r="HS45" s="2" t="str">
        <f>IF(HS$41="","",MINDS!$C$15)</f>
        <v/>
      </c>
      <c r="HT45" s="2" t="str">
        <f>IF(HT$41="","",MINDS!$C$15)</f>
        <v/>
      </c>
      <c r="HU45" s="2" t="str">
        <f>IF(HU$41="","",MINDS!$C$15)</f>
        <v/>
      </c>
      <c r="HV45" s="2" t="str">
        <f>IF(HV$41="","",MINDS!$C$15)</f>
        <v/>
      </c>
      <c r="HW45" s="2" t="str">
        <f>IF(HW$41="","",MINDS!$C$15)</f>
        <v/>
      </c>
      <c r="HX45" s="2" t="str">
        <f>IF(HX$41="","",MINDS!$C$15)</f>
        <v/>
      </c>
      <c r="HY45" s="2" t="str">
        <f>IF(HY$41="","",MINDS!$C$15)</f>
        <v/>
      </c>
      <c r="HZ45" s="2" t="str">
        <f>IF(HZ$41="","",MINDS!$C$15)</f>
        <v/>
      </c>
      <c r="IA45" s="2" t="str">
        <f>IF(IA$41="","",MINDS!$C$15)</f>
        <v/>
      </c>
      <c r="IB45" s="2" t="str">
        <f>IF(IB$41="","",MINDS!$C$15)</f>
        <v/>
      </c>
      <c r="IC45" s="2" t="str">
        <f>IF(IC$41="","",MINDS!$C$15)</f>
        <v/>
      </c>
      <c r="ID45" s="2" t="str">
        <f>IF(ID$41="","",MINDS!$C$15)</f>
        <v/>
      </c>
      <c r="IE45" s="2" t="str">
        <f>IF(IE$41="","",MINDS!$C$15)</f>
        <v/>
      </c>
      <c r="IF45" s="2" t="str">
        <f>IF(IF$41="","",MINDS!$C$15)</f>
        <v/>
      </c>
      <c r="IG45" s="2" t="str">
        <f>IF(IG$41="","",MINDS!$C$15)</f>
        <v/>
      </c>
      <c r="IH45" s="2" t="str">
        <f>IF(IH$41="","",MINDS!$C$15)</f>
        <v/>
      </c>
      <c r="II45" s="2" t="str">
        <f>IF(II$41="","",MINDS!$C$15)</f>
        <v/>
      </c>
      <c r="IJ45" s="2" t="str">
        <f>IF(IJ$41="","",MINDS!$C$15)</f>
        <v/>
      </c>
      <c r="IK45" s="2" t="str">
        <f>IF(IK$41="","",MINDS!$C$15)</f>
        <v/>
      </c>
      <c r="IL45" s="2" t="str">
        <f>IF(IL$41="","",MINDS!$C$15)</f>
        <v/>
      </c>
      <c r="IM45" s="2" t="str">
        <f>IF(IM$41="","",MINDS!$C$15)</f>
        <v/>
      </c>
      <c r="IN45" s="2" t="str">
        <f>IF(IN$41="","",MINDS!$C$15)</f>
        <v/>
      </c>
      <c r="IO45" s="2" t="str">
        <f>IF(IO$41="","",MINDS!$C$15)</f>
        <v/>
      </c>
      <c r="IP45" s="2" t="str">
        <f>IF(IP$41="","",MINDS!$C$15)</f>
        <v/>
      </c>
      <c r="IQ45" s="2" t="str">
        <f>IF(IQ$41="","",MINDS!$C$15)</f>
        <v/>
      </c>
      <c r="IR45" s="2" t="str">
        <f>IF(IR$41="","",MINDS!$C$15)</f>
        <v/>
      </c>
      <c r="IS45" s="2" t="str">
        <f>IF(IS$41="","",MINDS!$C$15)</f>
        <v/>
      </c>
      <c r="IT45" s="2" t="str">
        <f>IF(IT$41="","",MINDS!$C$15)</f>
        <v/>
      </c>
      <c r="IU45" s="2" t="str">
        <f>IF(IU$41="","",MINDS!$C$15)</f>
        <v/>
      </c>
      <c r="IV45" s="2" t="str">
        <f>IF(IV$41="","",MINDS!$C$15)</f>
        <v/>
      </c>
    </row>
    <row r="46" spans="1:256" x14ac:dyDescent="0.2">
      <c r="A46" s="3" t="s">
        <v>11</v>
      </c>
      <c r="C46" s="2" t="str">
        <f>IF(C$41="","",TEXT(MINDS!$C$16,"YYYY-MM-DD"))</f>
        <v/>
      </c>
      <c r="D46" s="2" t="str">
        <f>IF(D$41="","",TEXT(MINDS!$C$16,"YYYY-MM-DD"))</f>
        <v/>
      </c>
      <c r="E46" s="2" t="str">
        <f>IF(E$41="","",TEXT(MINDS!$C$16,"YYYY-MM-DD"))</f>
        <v/>
      </c>
      <c r="F46" s="2" t="str">
        <f>IF(F$41="","",TEXT(MINDS!$C$16,"YYYY-MM-DD"))</f>
        <v/>
      </c>
      <c r="G46" s="2" t="str">
        <f>IF(G$41="","",TEXT(MINDS!$C$16,"YYYY-MM-DD"))</f>
        <v/>
      </c>
      <c r="H46" s="2" t="str">
        <f>IF(H$41="","",TEXT(MINDS!$C$16,"YYYY-MM-DD"))</f>
        <v/>
      </c>
      <c r="I46" s="2" t="str">
        <f>IF(I$41="","",TEXT(MINDS!$C$16,"YYYY-MM-DD"))</f>
        <v/>
      </c>
      <c r="J46" s="2" t="str">
        <f>IF(J$41="","",TEXT(MINDS!$C$16,"YYYY-MM-DD"))</f>
        <v/>
      </c>
      <c r="K46" s="2" t="str">
        <f>IF(K$41="","",TEXT(MINDS!$C$16,"YYYY-MM-DD"))</f>
        <v/>
      </c>
      <c r="L46" s="2" t="str">
        <f>IF(L$41="","",TEXT(MINDS!$C$16,"YYYY-MM-DD"))</f>
        <v/>
      </c>
      <c r="M46" s="2" t="str">
        <f>IF(M$41="","",TEXT(MINDS!$C$16,"YYYY-MM-DD"))</f>
        <v/>
      </c>
      <c r="N46" s="2" t="str">
        <f>IF(N$41="","",TEXT(MINDS!$C$16,"YYYY-MM-DD"))</f>
        <v/>
      </c>
      <c r="O46" s="2" t="str">
        <f>IF(O$41="","",TEXT(MINDS!$C$16,"YYYY-MM-DD"))</f>
        <v/>
      </c>
      <c r="P46" s="2" t="str">
        <f>IF(P$41="","",TEXT(MINDS!$C$16,"YYYY-MM-DD"))</f>
        <v/>
      </c>
      <c r="Q46" s="2" t="str">
        <f>IF(Q$41="","",TEXT(MINDS!$C$16,"YYYY-MM-DD"))</f>
        <v/>
      </c>
      <c r="R46" s="2" t="str">
        <f>IF(R$41="","",TEXT(MINDS!$C$16,"YYYY-MM-DD"))</f>
        <v/>
      </c>
      <c r="S46" s="2" t="str">
        <f>IF(S$41="","",TEXT(MINDS!$C$16,"YYYY-MM-DD"))</f>
        <v/>
      </c>
      <c r="T46" s="2" t="str">
        <f>IF(T$41="","",TEXT(MINDS!$C$16,"YYYY-MM-DD"))</f>
        <v/>
      </c>
      <c r="U46" s="2" t="str">
        <f>IF(U$41="","",TEXT(MINDS!$C$16,"YYYY-MM-DD"))</f>
        <v/>
      </c>
      <c r="V46" s="2" t="str">
        <f>IF(V$41="","",TEXT(MINDS!$C$16,"YYYY-MM-DD"))</f>
        <v/>
      </c>
      <c r="W46" s="2" t="str">
        <f>IF(W$41="","",TEXT(MINDS!$C$16,"YYYY-MM-DD"))</f>
        <v/>
      </c>
      <c r="X46" s="2" t="str">
        <f>IF(X$41="","",TEXT(MINDS!$C$16,"YYYY-MM-DD"))</f>
        <v/>
      </c>
      <c r="Y46" s="2" t="str">
        <f>IF(Y$41="","",TEXT(MINDS!$C$16,"YYYY-MM-DD"))</f>
        <v/>
      </c>
      <c r="Z46" s="2" t="str">
        <f>IF(Z$41="","",TEXT(MINDS!$C$16,"YYYY-MM-DD"))</f>
        <v/>
      </c>
      <c r="AA46" s="2" t="str">
        <f>IF(AA$41="","",TEXT(MINDS!$C$16,"YYYY-MM-DD"))</f>
        <v/>
      </c>
      <c r="AB46" s="2" t="str">
        <f>IF(AB$41="","",TEXT(MINDS!$C$16,"YYYY-MM-DD"))</f>
        <v/>
      </c>
      <c r="AC46" s="2" t="str">
        <f>IF(AC$41="","",TEXT(MINDS!$C$16,"YYYY-MM-DD"))</f>
        <v/>
      </c>
      <c r="AD46" s="2" t="str">
        <f>IF(AD$41="","",TEXT(MINDS!$C$16,"YYYY-MM-DD"))</f>
        <v/>
      </c>
      <c r="AE46" s="2" t="str">
        <f>IF(AE$41="","",TEXT(MINDS!$C$16,"YYYY-MM-DD"))</f>
        <v/>
      </c>
      <c r="AF46" s="2" t="str">
        <f>IF(AF$41="","",TEXT(MINDS!$C$16,"YYYY-MM-DD"))</f>
        <v/>
      </c>
      <c r="AG46" s="2" t="str">
        <f>IF(AG$41="","",TEXT(MINDS!$C$16,"YYYY-MM-DD"))</f>
        <v/>
      </c>
      <c r="AH46" s="2" t="str">
        <f>IF(AH$41="","",TEXT(MINDS!$C$16,"YYYY-MM-DD"))</f>
        <v/>
      </c>
      <c r="AI46" s="2" t="str">
        <f>IF(AI$41="","",TEXT(MINDS!$C$16,"YYYY-MM-DD"))</f>
        <v/>
      </c>
      <c r="AJ46" s="2" t="str">
        <f>IF(AJ$41="","",TEXT(MINDS!$C$16,"YYYY-MM-DD"))</f>
        <v/>
      </c>
      <c r="AK46" s="2" t="str">
        <f>IF(AK$41="","",TEXT(MINDS!$C$16,"YYYY-MM-DD"))</f>
        <v/>
      </c>
      <c r="AL46" s="2" t="str">
        <f>IF(AL$41="","",TEXT(MINDS!$C$16,"YYYY-MM-DD"))</f>
        <v/>
      </c>
      <c r="AM46" s="2" t="str">
        <f>IF(AM$41="","",TEXT(MINDS!$C$16,"YYYY-MM-DD"))</f>
        <v/>
      </c>
      <c r="AN46" s="2" t="str">
        <f>IF(AN$41="","",TEXT(MINDS!$C$16,"YYYY-MM-DD"))</f>
        <v/>
      </c>
      <c r="AO46" s="2" t="str">
        <f>IF(AO$41="","",TEXT(MINDS!$C$16,"YYYY-MM-DD"))</f>
        <v/>
      </c>
      <c r="AP46" s="2" t="str">
        <f>IF(AP$41="","",TEXT(MINDS!$C$16,"YYYY-MM-DD"))</f>
        <v/>
      </c>
      <c r="AQ46" s="2" t="str">
        <f>IF(AQ$41="","",TEXT(MINDS!$C$16,"YYYY-MM-DD"))</f>
        <v/>
      </c>
      <c r="AR46" s="2" t="str">
        <f>IF(AR$41="","",TEXT(MINDS!$C$16,"YYYY-MM-DD"))</f>
        <v/>
      </c>
      <c r="AS46" s="2" t="str">
        <f>IF(AS$41="","",TEXT(MINDS!$C$16,"YYYY-MM-DD"))</f>
        <v/>
      </c>
      <c r="AT46" s="2" t="str">
        <f>IF(AT$41="","",TEXT(MINDS!$C$16,"YYYY-MM-DD"))</f>
        <v/>
      </c>
      <c r="AU46" s="2" t="str">
        <f>IF(AU$41="","",TEXT(MINDS!$C$16,"YYYY-MM-DD"))</f>
        <v/>
      </c>
      <c r="AV46" s="2" t="str">
        <f>IF(AV$41="","",TEXT(MINDS!$C$16,"YYYY-MM-DD"))</f>
        <v/>
      </c>
      <c r="AW46" s="2" t="str">
        <f>IF(AW$41="","",TEXT(MINDS!$C$16,"YYYY-MM-DD"))</f>
        <v/>
      </c>
      <c r="AX46" s="2" t="str">
        <f>IF(AX$41="","",TEXT(MINDS!$C$16,"YYYY-MM-DD"))</f>
        <v/>
      </c>
      <c r="AY46" s="2" t="str">
        <f>IF(AY$41="","",TEXT(MINDS!$C$16,"YYYY-MM-DD"))</f>
        <v/>
      </c>
      <c r="AZ46" s="2" t="str">
        <f>IF(AZ$41="","",TEXT(MINDS!$C$16,"YYYY-MM-DD"))</f>
        <v/>
      </c>
      <c r="BA46" s="2" t="str">
        <f>IF(BA$41="","",TEXT(MINDS!$C$16,"YYYY-MM-DD"))</f>
        <v/>
      </c>
      <c r="BB46" s="2" t="str">
        <f>IF(BB$41="","",TEXT(MINDS!$C$16,"YYYY-MM-DD"))</f>
        <v/>
      </c>
      <c r="BC46" s="2" t="str">
        <f>IF(BC$41="","",TEXT(MINDS!$C$16,"YYYY-MM-DD"))</f>
        <v/>
      </c>
      <c r="BD46" s="2" t="str">
        <f>IF(BD$41="","",TEXT(MINDS!$C$16,"YYYY-MM-DD"))</f>
        <v/>
      </c>
      <c r="BE46" s="2" t="str">
        <f>IF(BE$41="","",TEXT(MINDS!$C$16,"YYYY-MM-DD"))</f>
        <v/>
      </c>
      <c r="BF46" s="2" t="str">
        <f>IF(BF$41="","",TEXT(MINDS!$C$16,"YYYY-MM-DD"))</f>
        <v/>
      </c>
      <c r="BG46" s="2" t="str">
        <f>IF(BG$41="","",TEXT(MINDS!$C$16,"YYYY-MM-DD"))</f>
        <v/>
      </c>
      <c r="BH46" s="2" t="str">
        <f>IF(BH$41="","",TEXT(MINDS!$C$16,"YYYY-MM-DD"))</f>
        <v/>
      </c>
      <c r="BI46" s="2" t="str">
        <f>IF(BI$41="","",TEXT(MINDS!$C$16,"YYYY-MM-DD"))</f>
        <v/>
      </c>
      <c r="BJ46" s="2" t="str">
        <f>IF(BJ$41="","",TEXT(MINDS!$C$16,"YYYY-MM-DD"))</f>
        <v/>
      </c>
      <c r="BK46" s="2" t="str">
        <f>IF(BK$41="","",TEXT(MINDS!$C$16,"YYYY-MM-DD"))</f>
        <v/>
      </c>
      <c r="BL46" s="2" t="str">
        <f>IF(BL$41="","",TEXT(MINDS!$C$16,"YYYY-MM-DD"))</f>
        <v/>
      </c>
      <c r="BM46" s="2" t="str">
        <f>IF(BM$41="","",TEXT(MINDS!$C$16,"YYYY-MM-DD"))</f>
        <v/>
      </c>
      <c r="BN46" s="2" t="str">
        <f>IF(BN$41="","",TEXT(MINDS!$C$16,"YYYY-MM-DD"))</f>
        <v/>
      </c>
      <c r="BO46" s="2" t="str">
        <f>IF(BO$41="","",TEXT(MINDS!$C$16,"YYYY-MM-DD"))</f>
        <v/>
      </c>
      <c r="BP46" s="2" t="str">
        <f>IF(BP$41="","",TEXT(MINDS!$C$16,"YYYY-MM-DD"))</f>
        <v/>
      </c>
      <c r="BQ46" s="2" t="str">
        <f>IF(BQ$41="","",TEXT(MINDS!$C$16,"YYYY-MM-DD"))</f>
        <v/>
      </c>
      <c r="BR46" s="2" t="str">
        <f>IF(BR$41="","",TEXT(MINDS!$C$16,"YYYY-MM-DD"))</f>
        <v/>
      </c>
      <c r="BS46" s="2" t="str">
        <f>IF(BS$41="","",TEXT(MINDS!$C$16,"YYYY-MM-DD"))</f>
        <v/>
      </c>
      <c r="BT46" s="2" t="str">
        <f>IF(BT$41="","",TEXT(MINDS!$C$16,"YYYY-MM-DD"))</f>
        <v/>
      </c>
      <c r="BU46" s="2" t="str">
        <f>IF(BU$41="","",TEXT(MINDS!$C$16,"YYYY-MM-DD"))</f>
        <v/>
      </c>
      <c r="BV46" s="2" t="str">
        <f>IF(BV$41="","",TEXT(MINDS!$C$16,"YYYY-MM-DD"))</f>
        <v/>
      </c>
      <c r="BW46" s="2" t="str">
        <f>IF(BW$41="","",TEXT(MINDS!$C$16,"YYYY-MM-DD"))</f>
        <v/>
      </c>
      <c r="BX46" s="2" t="str">
        <f>IF(BX$41="","",TEXT(MINDS!$C$16,"YYYY-MM-DD"))</f>
        <v/>
      </c>
      <c r="BY46" s="2" t="str">
        <f>IF(BY$41="","",TEXT(MINDS!$C$16,"YYYY-MM-DD"))</f>
        <v/>
      </c>
      <c r="BZ46" s="2" t="str">
        <f>IF(BZ$41="","",TEXT(MINDS!$C$16,"YYYY-MM-DD"))</f>
        <v/>
      </c>
      <c r="CA46" s="2" t="str">
        <f>IF(CA$41="","",TEXT(MINDS!$C$16,"YYYY-MM-DD"))</f>
        <v/>
      </c>
      <c r="CB46" s="2" t="str">
        <f>IF(CB$41="","",TEXT(MINDS!$C$16,"YYYY-MM-DD"))</f>
        <v/>
      </c>
      <c r="CC46" s="2" t="str">
        <f>IF(CC$41="","",TEXT(MINDS!$C$16,"YYYY-MM-DD"))</f>
        <v/>
      </c>
      <c r="CD46" s="2" t="str">
        <f>IF(CD$41="","",TEXT(MINDS!$C$16,"YYYY-MM-DD"))</f>
        <v/>
      </c>
      <c r="CE46" s="2" t="str">
        <f>IF(CE$41="","",TEXT(MINDS!$C$16,"YYYY-MM-DD"))</f>
        <v/>
      </c>
      <c r="CF46" s="2" t="str">
        <f>IF(CF$41="","",TEXT(MINDS!$C$16,"YYYY-MM-DD"))</f>
        <v/>
      </c>
      <c r="CG46" s="2" t="str">
        <f>IF(CG$41="","",TEXT(MINDS!$C$16,"YYYY-MM-DD"))</f>
        <v/>
      </c>
      <c r="CH46" s="2" t="str">
        <f>IF(CH$41="","",TEXT(MINDS!$C$16,"YYYY-MM-DD"))</f>
        <v/>
      </c>
      <c r="CI46" s="2" t="str">
        <f>IF(CI$41="","",TEXT(MINDS!$C$16,"YYYY-MM-DD"))</f>
        <v/>
      </c>
      <c r="CJ46" s="2" t="str">
        <f>IF(CJ$41="","",TEXT(MINDS!$C$16,"YYYY-MM-DD"))</f>
        <v/>
      </c>
      <c r="CK46" s="2" t="str">
        <f>IF(CK$41="","",TEXT(MINDS!$C$16,"YYYY-MM-DD"))</f>
        <v/>
      </c>
      <c r="CL46" s="2" t="str">
        <f>IF(CL$41="","",TEXT(MINDS!$C$16,"YYYY-MM-DD"))</f>
        <v/>
      </c>
      <c r="CM46" s="2" t="str">
        <f>IF(CM$41="","",TEXT(MINDS!$C$16,"YYYY-MM-DD"))</f>
        <v/>
      </c>
      <c r="CN46" s="2" t="str">
        <f>IF(CN$41="","",TEXT(MINDS!$C$16,"YYYY-MM-DD"))</f>
        <v/>
      </c>
      <c r="CO46" s="2" t="str">
        <f>IF(CO$41="","",TEXT(MINDS!$C$16,"YYYY-MM-DD"))</f>
        <v/>
      </c>
      <c r="CP46" s="2" t="str">
        <f>IF(CP$41="","",TEXT(MINDS!$C$16,"YYYY-MM-DD"))</f>
        <v/>
      </c>
      <c r="CQ46" s="2" t="str">
        <f>IF(CQ$41="","",TEXT(MINDS!$C$16,"YYYY-MM-DD"))</f>
        <v/>
      </c>
      <c r="CR46" s="2" t="str">
        <f>IF(CR$41="","",TEXT(MINDS!$C$16,"YYYY-MM-DD"))</f>
        <v/>
      </c>
      <c r="CS46" s="2" t="str">
        <f>IF(CS$41="","",TEXT(MINDS!$C$16,"YYYY-MM-DD"))</f>
        <v/>
      </c>
      <c r="CT46" s="2" t="str">
        <f>IF(CT$41="","",TEXT(MINDS!$C$16,"YYYY-MM-DD"))</f>
        <v/>
      </c>
      <c r="CU46" s="2" t="str">
        <f>IF(CU$41="","",TEXT(MINDS!$C$16,"YYYY-MM-DD"))</f>
        <v/>
      </c>
      <c r="CV46" s="2" t="str">
        <f>IF(CV$41="","",TEXT(MINDS!$C$16,"YYYY-MM-DD"))</f>
        <v/>
      </c>
      <c r="CW46" s="2" t="str">
        <f>IF(CW$41="","",TEXT(MINDS!$C$16,"YYYY-MM-DD"))</f>
        <v/>
      </c>
      <c r="CX46" s="2" t="str">
        <f>IF(CX$41="","",TEXT(MINDS!$C$16,"YYYY-MM-DD"))</f>
        <v/>
      </c>
      <c r="CY46" s="2" t="str">
        <f>IF(CY$41="","",TEXT(MINDS!$C$16,"YYYY-MM-DD"))</f>
        <v/>
      </c>
      <c r="CZ46" s="2" t="str">
        <f>IF(CZ$41="","",TEXT(MINDS!$C$16,"YYYY-MM-DD"))</f>
        <v/>
      </c>
      <c r="DA46" s="2" t="str">
        <f>IF(DA$41="","",TEXT(MINDS!$C$16,"YYYY-MM-DD"))</f>
        <v/>
      </c>
      <c r="DB46" s="2" t="str">
        <f>IF(DB$41="","",TEXT(MINDS!$C$16,"YYYY-MM-DD"))</f>
        <v/>
      </c>
      <c r="DC46" s="2" t="str">
        <f>IF(DC$41="","",TEXT(MINDS!$C$16,"YYYY-MM-DD"))</f>
        <v/>
      </c>
      <c r="DD46" s="2" t="str">
        <f>IF(DD$41="","",TEXT(MINDS!$C$16,"YYYY-MM-DD"))</f>
        <v/>
      </c>
      <c r="DE46" s="2" t="str">
        <f>IF(DE$41="","",TEXT(MINDS!$C$16,"YYYY-MM-DD"))</f>
        <v/>
      </c>
      <c r="DF46" s="2" t="str">
        <f>IF(DF$41="","",TEXT(MINDS!$C$16,"YYYY-MM-DD"))</f>
        <v/>
      </c>
      <c r="DG46" s="2" t="str">
        <f>IF(DG$41="","",TEXT(MINDS!$C$16,"YYYY-MM-DD"))</f>
        <v/>
      </c>
      <c r="DH46" s="2" t="str">
        <f>IF(DH$41="","",TEXT(MINDS!$C$16,"YYYY-MM-DD"))</f>
        <v/>
      </c>
      <c r="DI46" s="2" t="str">
        <f>IF(DI$41="","",TEXT(MINDS!$C$16,"YYYY-MM-DD"))</f>
        <v/>
      </c>
      <c r="DJ46" s="2" t="str">
        <f>IF(DJ$41="","",TEXT(MINDS!$C$16,"YYYY-MM-DD"))</f>
        <v/>
      </c>
      <c r="DK46" s="2" t="str">
        <f>IF(DK$41="","",TEXT(MINDS!$C$16,"YYYY-MM-DD"))</f>
        <v/>
      </c>
      <c r="DL46" s="2" t="str">
        <f>IF(DL$41="","",TEXT(MINDS!$C$16,"YYYY-MM-DD"))</f>
        <v/>
      </c>
      <c r="DM46" s="2" t="str">
        <f>IF(DM$41="","",TEXT(MINDS!$C$16,"YYYY-MM-DD"))</f>
        <v/>
      </c>
      <c r="DN46" s="2" t="str">
        <f>IF(DN$41="","",TEXT(MINDS!$C$16,"YYYY-MM-DD"))</f>
        <v/>
      </c>
      <c r="DO46" s="2" t="str">
        <f>IF(DO$41="","",TEXT(MINDS!$C$16,"YYYY-MM-DD"))</f>
        <v/>
      </c>
      <c r="DP46" s="2" t="str">
        <f>IF(DP$41="","",TEXT(MINDS!$C$16,"YYYY-MM-DD"))</f>
        <v/>
      </c>
      <c r="DQ46" s="2" t="str">
        <f>IF(DQ$41="","",TEXT(MINDS!$C$16,"YYYY-MM-DD"))</f>
        <v/>
      </c>
      <c r="DR46" s="2" t="str">
        <f>IF(DR$41="","",TEXT(MINDS!$C$16,"YYYY-MM-DD"))</f>
        <v/>
      </c>
      <c r="DS46" s="2" t="str">
        <f>IF(DS$41="","",TEXT(MINDS!$C$16,"YYYY-MM-DD"))</f>
        <v/>
      </c>
      <c r="DT46" s="2" t="str">
        <f>IF(DT$41="","",TEXT(MINDS!$C$16,"YYYY-MM-DD"))</f>
        <v/>
      </c>
      <c r="DU46" s="2" t="str">
        <f>IF(DU$41="","",TEXT(MINDS!$C$16,"YYYY-MM-DD"))</f>
        <v/>
      </c>
      <c r="DV46" s="2" t="str">
        <f>IF(DV$41="","",TEXT(MINDS!$C$16,"YYYY-MM-DD"))</f>
        <v/>
      </c>
      <c r="DW46" s="2" t="str">
        <f>IF(DW$41="","",TEXT(MINDS!$C$16,"YYYY-MM-DD"))</f>
        <v/>
      </c>
      <c r="DX46" s="2" t="str">
        <f>IF(DX$41="","",TEXT(MINDS!$C$16,"YYYY-MM-DD"))</f>
        <v/>
      </c>
      <c r="DY46" s="2" t="str">
        <f>IF(DY$41="","",TEXT(MINDS!$C$16,"YYYY-MM-DD"))</f>
        <v/>
      </c>
      <c r="DZ46" s="2" t="str">
        <f>IF(DZ$41="","",TEXT(MINDS!$C$16,"YYYY-MM-DD"))</f>
        <v/>
      </c>
      <c r="EA46" s="2" t="str">
        <f>IF(EA$41="","",TEXT(MINDS!$C$16,"YYYY-MM-DD"))</f>
        <v/>
      </c>
      <c r="EB46" s="2" t="str">
        <f>IF(EB$41="","",TEXT(MINDS!$C$16,"YYYY-MM-DD"))</f>
        <v/>
      </c>
      <c r="EC46" s="2" t="str">
        <f>IF(EC$41="","",TEXT(MINDS!$C$16,"YYYY-MM-DD"))</f>
        <v/>
      </c>
      <c r="ED46" s="2" t="str">
        <f>IF(ED$41="","",TEXT(MINDS!$C$16,"YYYY-MM-DD"))</f>
        <v/>
      </c>
      <c r="EE46" s="2" t="str">
        <f>IF(EE$41="","",TEXT(MINDS!$C$16,"YYYY-MM-DD"))</f>
        <v/>
      </c>
      <c r="EF46" s="2" t="str">
        <f>IF(EF$41="","",TEXT(MINDS!$C$16,"YYYY-MM-DD"))</f>
        <v/>
      </c>
      <c r="EG46" s="2" t="str">
        <f>IF(EG$41="","",TEXT(MINDS!$C$16,"YYYY-MM-DD"))</f>
        <v/>
      </c>
      <c r="EH46" s="2" t="str">
        <f>IF(EH$41="","",TEXT(MINDS!$C$16,"YYYY-MM-DD"))</f>
        <v/>
      </c>
      <c r="EI46" s="2" t="str">
        <f>IF(EI$41="","",TEXT(MINDS!$C$16,"YYYY-MM-DD"))</f>
        <v/>
      </c>
      <c r="EJ46" s="2" t="str">
        <f>IF(EJ$41="","",TEXT(MINDS!$C$16,"YYYY-MM-DD"))</f>
        <v/>
      </c>
      <c r="EK46" s="2" t="str">
        <f>IF(EK$41="","",TEXT(MINDS!$C$16,"YYYY-MM-DD"))</f>
        <v/>
      </c>
      <c r="EL46" s="2" t="str">
        <f>IF(EL$41="","",TEXT(MINDS!$C$16,"YYYY-MM-DD"))</f>
        <v/>
      </c>
      <c r="EM46" s="2" t="str">
        <f>IF(EM$41="","",TEXT(MINDS!$C$16,"YYYY-MM-DD"))</f>
        <v/>
      </c>
      <c r="EN46" s="2" t="str">
        <f>IF(EN$41="","",TEXT(MINDS!$C$16,"YYYY-MM-DD"))</f>
        <v/>
      </c>
      <c r="EO46" s="2" t="str">
        <f>IF(EO$41="","",TEXT(MINDS!$C$16,"YYYY-MM-DD"))</f>
        <v/>
      </c>
      <c r="EP46" s="2" t="str">
        <f>IF(EP$41="","",TEXT(MINDS!$C$16,"YYYY-MM-DD"))</f>
        <v/>
      </c>
      <c r="EQ46" s="2" t="str">
        <f>IF(EQ$41="","",TEXT(MINDS!$C$16,"YYYY-MM-DD"))</f>
        <v/>
      </c>
      <c r="ER46" s="2" t="str">
        <f>IF(ER$41="","",TEXT(MINDS!$C$16,"YYYY-MM-DD"))</f>
        <v/>
      </c>
      <c r="ES46" s="2" t="str">
        <f>IF(ES$41="","",TEXT(MINDS!$C$16,"YYYY-MM-DD"))</f>
        <v/>
      </c>
      <c r="ET46" s="2" t="str">
        <f>IF(ET$41="","",TEXT(MINDS!$C$16,"YYYY-MM-DD"))</f>
        <v/>
      </c>
      <c r="EU46" s="2" t="str">
        <f>IF(EU$41="","",TEXT(MINDS!$C$16,"YYYY-MM-DD"))</f>
        <v/>
      </c>
      <c r="EV46" s="2" t="str">
        <f>IF(EV$41="","",TEXT(MINDS!$C$16,"YYYY-MM-DD"))</f>
        <v/>
      </c>
      <c r="EW46" s="2" t="str">
        <f>IF(EW$41="","",TEXT(MINDS!$C$16,"YYYY-MM-DD"))</f>
        <v/>
      </c>
      <c r="EX46" s="2" t="str">
        <f>IF(EX$41="","",TEXT(MINDS!$C$16,"YYYY-MM-DD"))</f>
        <v/>
      </c>
      <c r="EY46" s="2" t="str">
        <f>IF(EY$41="","",TEXT(MINDS!$C$16,"YYYY-MM-DD"))</f>
        <v/>
      </c>
      <c r="EZ46" s="2" t="str">
        <f>IF(EZ$41="","",TEXT(MINDS!$C$16,"YYYY-MM-DD"))</f>
        <v/>
      </c>
      <c r="FA46" s="2" t="str">
        <f>IF(FA$41="","",TEXT(MINDS!$C$16,"YYYY-MM-DD"))</f>
        <v/>
      </c>
      <c r="FB46" s="2" t="str">
        <f>IF(FB$41="","",TEXT(MINDS!$C$16,"YYYY-MM-DD"))</f>
        <v/>
      </c>
      <c r="FC46" s="2" t="str">
        <f>IF(FC$41="","",TEXT(MINDS!$C$16,"YYYY-MM-DD"))</f>
        <v/>
      </c>
      <c r="FD46" s="2" t="str">
        <f>IF(FD$41="","",TEXT(MINDS!$C$16,"YYYY-MM-DD"))</f>
        <v/>
      </c>
      <c r="FE46" s="2" t="str">
        <f>IF(FE$41="","",TEXT(MINDS!$C$16,"YYYY-MM-DD"))</f>
        <v/>
      </c>
      <c r="FF46" s="2" t="str">
        <f>IF(FF$41="","",TEXT(MINDS!$C$16,"YYYY-MM-DD"))</f>
        <v/>
      </c>
      <c r="FG46" s="2" t="str">
        <f>IF(FG$41="","",TEXT(MINDS!$C$16,"YYYY-MM-DD"))</f>
        <v/>
      </c>
      <c r="FH46" s="2" t="str">
        <f>IF(FH$41="","",TEXT(MINDS!$C$16,"YYYY-MM-DD"))</f>
        <v/>
      </c>
      <c r="FI46" s="2" t="str">
        <f>IF(FI$41="","",TEXT(MINDS!$C$16,"YYYY-MM-DD"))</f>
        <v/>
      </c>
      <c r="FJ46" s="2" t="str">
        <f>IF(FJ$41="","",TEXT(MINDS!$C$16,"YYYY-MM-DD"))</f>
        <v/>
      </c>
      <c r="FK46" s="2" t="str">
        <f>IF(FK$41="","",TEXT(MINDS!$C$16,"YYYY-MM-DD"))</f>
        <v/>
      </c>
      <c r="FL46" s="2" t="str">
        <f>IF(FL$41="","",TEXT(MINDS!$C$16,"YYYY-MM-DD"))</f>
        <v/>
      </c>
      <c r="FM46" s="2" t="str">
        <f>IF(FM$41="","",TEXT(MINDS!$C$16,"YYYY-MM-DD"))</f>
        <v/>
      </c>
      <c r="FN46" s="2" t="str">
        <f>IF(FN$41="","",TEXT(MINDS!$C$16,"YYYY-MM-DD"))</f>
        <v/>
      </c>
      <c r="FO46" s="2" t="str">
        <f>IF(FO$41="","",TEXT(MINDS!$C$16,"YYYY-MM-DD"))</f>
        <v/>
      </c>
      <c r="FP46" s="2" t="str">
        <f>IF(FP$41="","",TEXT(MINDS!$C$16,"YYYY-MM-DD"))</f>
        <v/>
      </c>
      <c r="FQ46" s="2" t="str">
        <f>IF(FQ$41="","",TEXT(MINDS!$C$16,"YYYY-MM-DD"))</f>
        <v/>
      </c>
      <c r="FR46" s="2" t="str">
        <f>IF(FR$41="","",TEXT(MINDS!$C$16,"YYYY-MM-DD"))</f>
        <v/>
      </c>
      <c r="FS46" s="2" t="str">
        <f>IF(FS$41="","",TEXT(MINDS!$C$16,"YYYY-MM-DD"))</f>
        <v/>
      </c>
      <c r="FT46" s="2" t="str">
        <f>IF(FT$41="","",TEXT(MINDS!$C$16,"YYYY-MM-DD"))</f>
        <v/>
      </c>
      <c r="FU46" s="2" t="str">
        <f>IF(FU$41="","",TEXT(MINDS!$C$16,"YYYY-MM-DD"))</f>
        <v/>
      </c>
      <c r="FV46" s="2" t="str">
        <f>IF(FV$41="","",TEXT(MINDS!$C$16,"YYYY-MM-DD"))</f>
        <v/>
      </c>
      <c r="FW46" s="2" t="str">
        <f>IF(FW$41="","",TEXT(MINDS!$C$16,"YYYY-MM-DD"))</f>
        <v/>
      </c>
      <c r="FX46" s="2" t="str">
        <f>IF(FX$41="","",TEXT(MINDS!$C$16,"YYYY-MM-DD"))</f>
        <v/>
      </c>
      <c r="FY46" s="2" t="str">
        <f>IF(FY$41="","",TEXT(MINDS!$C$16,"YYYY-MM-DD"))</f>
        <v/>
      </c>
      <c r="FZ46" s="2" t="str">
        <f>IF(FZ$41="","",TEXT(MINDS!$C$16,"YYYY-MM-DD"))</f>
        <v/>
      </c>
      <c r="GA46" s="2" t="str">
        <f>IF(GA$41="","",TEXT(MINDS!$C$16,"YYYY-MM-DD"))</f>
        <v/>
      </c>
      <c r="GB46" s="2" t="str">
        <f>IF(GB$41="","",TEXT(MINDS!$C$16,"YYYY-MM-DD"))</f>
        <v/>
      </c>
      <c r="GC46" s="2" t="str">
        <f>IF(GC$41="","",TEXT(MINDS!$C$16,"YYYY-MM-DD"))</f>
        <v/>
      </c>
      <c r="GD46" s="2" t="str">
        <f>IF(GD$41="","",TEXT(MINDS!$C$16,"YYYY-MM-DD"))</f>
        <v/>
      </c>
      <c r="GE46" s="2" t="str">
        <f>IF(GE$41="","",TEXT(MINDS!$C$16,"YYYY-MM-DD"))</f>
        <v/>
      </c>
      <c r="GF46" s="2" t="str">
        <f>IF(GF$41="","",TEXT(MINDS!$C$16,"YYYY-MM-DD"))</f>
        <v/>
      </c>
      <c r="GG46" s="2" t="str">
        <f>IF(GG$41="","",TEXT(MINDS!$C$16,"YYYY-MM-DD"))</f>
        <v/>
      </c>
      <c r="GH46" s="2" t="str">
        <f>IF(GH$41="","",TEXT(MINDS!$C$16,"YYYY-MM-DD"))</f>
        <v/>
      </c>
      <c r="GI46" s="2" t="str">
        <f>IF(GI$41="","",TEXT(MINDS!$C$16,"YYYY-MM-DD"))</f>
        <v/>
      </c>
      <c r="GJ46" s="2" t="str">
        <f>IF(GJ$41="","",TEXT(MINDS!$C$16,"YYYY-MM-DD"))</f>
        <v/>
      </c>
      <c r="GK46" s="2" t="str">
        <f>IF(GK$41="","",TEXT(MINDS!$C$16,"YYYY-MM-DD"))</f>
        <v/>
      </c>
      <c r="GL46" s="2" t="str">
        <f>IF(GL$41="","",TEXT(MINDS!$C$16,"YYYY-MM-DD"))</f>
        <v/>
      </c>
      <c r="GM46" s="2" t="str">
        <f>IF(GM$41="","",TEXT(MINDS!$C$16,"YYYY-MM-DD"))</f>
        <v/>
      </c>
      <c r="GN46" s="2" t="str">
        <f>IF(GN$41="","",TEXT(MINDS!$C$16,"YYYY-MM-DD"))</f>
        <v/>
      </c>
      <c r="GO46" s="2" t="str">
        <f>IF(GO$41="","",TEXT(MINDS!$C$16,"YYYY-MM-DD"))</f>
        <v/>
      </c>
      <c r="GP46" s="2" t="str">
        <f>IF(GP$41="","",TEXT(MINDS!$C$16,"YYYY-MM-DD"))</f>
        <v/>
      </c>
      <c r="GQ46" s="2" t="str">
        <f>IF(GQ$41="","",TEXT(MINDS!$C$16,"YYYY-MM-DD"))</f>
        <v/>
      </c>
      <c r="GR46" s="2" t="str">
        <f>IF(GR$41="","",TEXT(MINDS!$C$16,"YYYY-MM-DD"))</f>
        <v/>
      </c>
      <c r="GS46" s="2" t="str">
        <f>IF(GS$41="","",TEXT(MINDS!$C$16,"YYYY-MM-DD"))</f>
        <v/>
      </c>
      <c r="GT46" s="2" t="str">
        <f>IF(GT$41="","",TEXT(MINDS!$C$16,"YYYY-MM-DD"))</f>
        <v/>
      </c>
      <c r="GU46" s="2" t="str">
        <f>IF(GU$41="","",TEXT(MINDS!$C$16,"YYYY-MM-DD"))</f>
        <v/>
      </c>
      <c r="GV46" s="2" t="str">
        <f>IF(GV$41="","",TEXT(MINDS!$C$16,"YYYY-MM-DD"))</f>
        <v/>
      </c>
      <c r="GW46" s="2" t="str">
        <f>IF(GW$41="","",TEXT(MINDS!$C$16,"YYYY-MM-DD"))</f>
        <v/>
      </c>
      <c r="GX46" s="2" t="str">
        <f>IF(GX$41="","",TEXT(MINDS!$C$16,"YYYY-MM-DD"))</f>
        <v/>
      </c>
      <c r="GY46" s="2" t="str">
        <f>IF(GY$41="","",TEXT(MINDS!$C$16,"YYYY-MM-DD"))</f>
        <v/>
      </c>
      <c r="GZ46" s="2" t="str">
        <f>IF(GZ$41="","",TEXT(MINDS!$C$16,"YYYY-MM-DD"))</f>
        <v/>
      </c>
      <c r="HA46" s="2" t="str">
        <f>IF(HA$41="","",TEXT(MINDS!$C$16,"YYYY-MM-DD"))</f>
        <v/>
      </c>
      <c r="HB46" s="2" t="str">
        <f>IF(HB$41="","",TEXT(MINDS!$C$16,"YYYY-MM-DD"))</f>
        <v/>
      </c>
      <c r="HC46" s="2" t="str">
        <f>IF(HC$41="","",TEXT(MINDS!$C$16,"YYYY-MM-DD"))</f>
        <v/>
      </c>
      <c r="HD46" s="2" t="str">
        <f>IF(HD$41="","",TEXT(MINDS!$C$16,"YYYY-MM-DD"))</f>
        <v/>
      </c>
      <c r="HE46" s="2" t="str">
        <f>IF(HE$41="","",TEXT(MINDS!$C$16,"YYYY-MM-DD"))</f>
        <v/>
      </c>
      <c r="HF46" s="2" t="str">
        <f>IF(HF$41="","",TEXT(MINDS!$C$16,"YYYY-MM-DD"))</f>
        <v/>
      </c>
      <c r="HG46" s="2" t="str">
        <f>IF(HG$41="","",TEXT(MINDS!$C$16,"YYYY-MM-DD"))</f>
        <v/>
      </c>
      <c r="HH46" s="2" t="str">
        <f>IF(HH$41="","",TEXT(MINDS!$C$16,"YYYY-MM-DD"))</f>
        <v/>
      </c>
      <c r="HI46" s="2" t="str">
        <f>IF(HI$41="","",TEXT(MINDS!$C$16,"YYYY-MM-DD"))</f>
        <v/>
      </c>
      <c r="HJ46" s="2" t="str">
        <f>IF(HJ$41="","",TEXT(MINDS!$C$16,"YYYY-MM-DD"))</f>
        <v/>
      </c>
      <c r="HK46" s="2" t="str">
        <f>IF(HK$41="","",TEXT(MINDS!$C$16,"YYYY-MM-DD"))</f>
        <v/>
      </c>
      <c r="HL46" s="2" t="str">
        <f>IF(HL$41="","",TEXT(MINDS!$C$16,"YYYY-MM-DD"))</f>
        <v/>
      </c>
      <c r="HM46" s="2" t="str">
        <f>IF(HM$41="","",TEXT(MINDS!$C$16,"YYYY-MM-DD"))</f>
        <v/>
      </c>
      <c r="HN46" s="2" t="str">
        <f>IF(HN$41="","",TEXT(MINDS!$C$16,"YYYY-MM-DD"))</f>
        <v/>
      </c>
      <c r="HO46" s="2" t="str">
        <f>IF(HO$41="","",TEXT(MINDS!$C$16,"YYYY-MM-DD"))</f>
        <v/>
      </c>
      <c r="HP46" s="2" t="str">
        <f>IF(HP$41="","",TEXT(MINDS!$C$16,"YYYY-MM-DD"))</f>
        <v/>
      </c>
      <c r="HQ46" s="2" t="str">
        <f>IF(HQ$41="","",TEXT(MINDS!$C$16,"YYYY-MM-DD"))</f>
        <v/>
      </c>
      <c r="HR46" s="2" t="str">
        <f>IF(HR$41="","",TEXT(MINDS!$C$16,"YYYY-MM-DD"))</f>
        <v/>
      </c>
      <c r="HS46" s="2" t="str">
        <f>IF(HS$41="","",TEXT(MINDS!$C$16,"YYYY-MM-DD"))</f>
        <v/>
      </c>
      <c r="HT46" s="2" t="str">
        <f>IF(HT$41="","",TEXT(MINDS!$C$16,"YYYY-MM-DD"))</f>
        <v/>
      </c>
      <c r="HU46" s="2" t="str">
        <f>IF(HU$41="","",TEXT(MINDS!$C$16,"YYYY-MM-DD"))</f>
        <v/>
      </c>
      <c r="HV46" s="2" t="str">
        <f>IF(HV$41="","",TEXT(MINDS!$C$16,"YYYY-MM-DD"))</f>
        <v/>
      </c>
      <c r="HW46" s="2" t="str">
        <f>IF(HW$41="","",TEXT(MINDS!$C$16,"YYYY-MM-DD"))</f>
        <v/>
      </c>
      <c r="HX46" s="2" t="str">
        <f>IF(HX$41="","",TEXT(MINDS!$C$16,"YYYY-MM-DD"))</f>
        <v/>
      </c>
      <c r="HY46" s="2" t="str">
        <f>IF(HY$41="","",TEXT(MINDS!$C$16,"YYYY-MM-DD"))</f>
        <v/>
      </c>
      <c r="HZ46" s="2" t="str">
        <f>IF(HZ$41="","",TEXT(MINDS!$C$16,"YYYY-MM-DD"))</f>
        <v/>
      </c>
      <c r="IA46" s="2" t="str">
        <f>IF(IA$41="","",TEXT(MINDS!$C$16,"YYYY-MM-DD"))</f>
        <v/>
      </c>
      <c r="IB46" s="2" t="str">
        <f>IF(IB$41="","",TEXT(MINDS!$C$16,"YYYY-MM-DD"))</f>
        <v/>
      </c>
      <c r="IC46" s="2" t="str">
        <f>IF(IC$41="","",TEXT(MINDS!$C$16,"YYYY-MM-DD"))</f>
        <v/>
      </c>
      <c r="ID46" s="2" t="str">
        <f>IF(ID$41="","",TEXT(MINDS!$C$16,"YYYY-MM-DD"))</f>
        <v/>
      </c>
      <c r="IE46" s="2" t="str">
        <f>IF(IE$41="","",TEXT(MINDS!$C$16,"YYYY-MM-DD"))</f>
        <v/>
      </c>
      <c r="IF46" s="2" t="str">
        <f>IF(IF$41="","",TEXT(MINDS!$C$16,"YYYY-MM-DD"))</f>
        <v/>
      </c>
      <c r="IG46" s="2" t="str">
        <f>IF(IG$41="","",TEXT(MINDS!$C$16,"YYYY-MM-DD"))</f>
        <v/>
      </c>
      <c r="IH46" s="2" t="str">
        <f>IF(IH$41="","",TEXT(MINDS!$C$16,"YYYY-MM-DD"))</f>
        <v/>
      </c>
      <c r="II46" s="2" t="str">
        <f>IF(II$41="","",TEXT(MINDS!$C$16,"YYYY-MM-DD"))</f>
        <v/>
      </c>
      <c r="IJ46" s="2" t="str">
        <f>IF(IJ$41="","",TEXT(MINDS!$C$16,"YYYY-MM-DD"))</f>
        <v/>
      </c>
      <c r="IK46" s="2" t="str">
        <f>IF(IK$41="","",TEXT(MINDS!$C$16,"YYYY-MM-DD"))</f>
        <v/>
      </c>
      <c r="IL46" s="2" t="str">
        <f>IF(IL$41="","",TEXT(MINDS!$C$16,"YYYY-MM-DD"))</f>
        <v/>
      </c>
      <c r="IM46" s="2" t="str">
        <f>IF(IM$41="","",TEXT(MINDS!$C$16,"YYYY-MM-DD"))</f>
        <v/>
      </c>
      <c r="IN46" s="2" t="str">
        <f>IF(IN$41="","",TEXT(MINDS!$C$16,"YYYY-MM-DD"))</f>
        <v/>
      </c>
      <c r="IO46" s="2" t="str">
        <f>IF(IO$41="","",TEXT(MINDS!$C$16,"YYYY-MM-DD"))</f>
        <v/>
      </c>
      <c r="IP46" s="2" t="str">
        <f>IF(IP$41="","",TEXT(MINDS!$C$16,"YYYY-MM-DD"))</f>
        <v/>
      </c>
      <c r="IQ46" s="2" t="str">
        <f>IF(IQ$41="","",TEXT(MINDS!$C$16,"YYYY-MM-DD"))</f>
        <v/>
      </c>
      <c r="IR46" s="2" t="str">
        <f>IF(IR$41="","",TEXT(MINDS!$C$16,"YYYY-MM-DD"))</f>
        <v/>
      </c>
      <c r="IS46" s="2" t="str">
        <f>IF(IS$41="","",TEXT(MINDS!$C$16,"YYYY-MM-DD"))</f>
        <v/>
      </c>
      <c r="IT46" s="2" t="str">
        <f>IF(IT$41="","",TEXT(MINDS!$C$16,"YYYY-MM-DD"))</f>
        <v/>
      </c>
      <c r="IU46" s="2" t="str">
        <f>IF(IU$41="","",TEXT(MINDS!$C$16,"YYYY-MM-DD"))</f>
        <v/>
      </c>
      <c r="IV46" s="2" t="str">
        <f>IF(IV$41="","",TEXT(MINDS!$C$16,"YYYY-MM-DD"))</f>
        <v/>
      </c>
    </row>
    <row r="47" spans="1:256" x14ac:dyDescent="0.2">
      <c r="A47" s="3" t="s">
        <v>12</v>
      </c>
      <c r="C47" s="2" t="str">
        <f>IF(C$41="","",MINDS!C$61)</f>
        <v/>
      </c>
      <c r="D47" s="2" t="str">
        <f>IF(D$41="","",MINDS!D$61)</f>
        <v/>
      </c>
      <c r="E47" s="2" t="str">
        <f>IF(E$41="","",MINDS!E$61)</f>
        <v/>
      </c>
      <c r="F47" s="2" t="str">
        <f>IF(F$41="","",MINDS!F$61)</f>
        <v/>
      </c>
      <c r="G47" s="2" t="str">
        <f>IF(G$41="","",MINDS!G$61)</f>
        <v/>
      </c>
      <c r="H47" s="2" t="str">
        <f>IF(H$41="","",MINDS!H$61)</f>
        <v/>
      </c>
      <c r="I47" s="2" t="str">
        <f>IF(I$41="","",MINDS!I$61)</f>
        <v/>
      </c>
      <c r="J47" s="2" t="str">
        <f>IF(J$41="","",MINDS!J$61)</f>
        <v/>
      </c>
      <c r="K47" s="2" t="str">
        <f>IF(K$41="","",MINDS!K$61)</f>
        <v/>
      </c>
      <c r="L47" s="2" t="str">
        <f>IF(L$41="","",MINDS!L$61)</f>
        <v/>
      </c>
      <c r="M47" s="2" t="str">
        <f>IF(M$41="","",MINDS!M$61)</f>
        <v/>
      </c>
      <c r="N47" s="2" t="str">
        <f>IF(N$41="","",MINDS!N$61)</f>
        <v/>
      </c>
      <c r="O47" s="2" t="str">
        <f>IF(O$41="","",MINDS!O$61)</f>
        <v/>
      </c>
      <c r="P47" s="2" t="str">
        <f>IF(P$41="","",MINDS!P$61)</f>
        <v/>
      </c>
      <c r="Q47" s="2" t="str">
        <f>IF(Q$41="","",MINDS!Q$61)</f>
        <v/>
      </c>
      <c r="R47" s="2" t="str">
        <f>IF(R$41="","",MINDS!R$61)</f>
        <v/>
      </c>
      <c r="S47" s="2" t="str">
        <f>IF(S$41="","",MINDS!S$61)</f>
        <v/>
      </c>
      <c r="T47" s="2" t="str">
        <f>IF(T$41="","",MINDS!T$61)</f>
        <v/>
      </c>
      <c r="U47" s="2" t="str">
        <f>IF(U$41="","",MINDS!U$61)</f>
        <v/>
      </c>
      <c r="V47" s="2" t="str">
        <f>IF(V$41="","",MINDS!V$61)</f>
        <v/>
      </c>
      <c r="W47" s="2" t="str">
        <f>IF(W$41="","",MINDS!W$61)</f>
        <v/>
      </c>
      <c r="X47" s="2" t="str">
        <f>IF(X$41="","",MINDS!X$61)</f>
        <v/>
      </c>
      <c r="Y47" s="2" t="str">
        <f>IF(Y$41="","",MINDS!Y$61)</f>
        <v/>
      </c>
      <c r="Z47" s="2" t="str">
        <f>IF(Z$41="","",MINDS!Z$61)</f>
        <v/>
      </c>
      <c r="AA47" s="2" t="str">
        <f>IF(AA$41="","",MINDS!AA$61)</f>
        <v/>
      </c>
      <c r="AB47" s="2" t="str">
        <f>IF(AB$41="","",MINDS!AB$61)</f>
        <v/>
      </c>
      <c r="AC47" s="2" t="str">
        <f>IF(AC$41="","",MINDS!AC$61)</f>
        <v/>
      </c>
      <c r="AD47" s="2" t="str">
        <f>IF(AD$41="","",MINDS!AD$61)</f>
        <v/>
      </c>
      <c r="AE47" s="2" t="str">
        <f>IF(AE$41="","",MINDS!AE$61)</f>
        <v/>
      </c>
      <c r="AF47" s="2" t="str">
        <f>IF(AF$41="","",MINDS!AF$61)</f>
        <v/>
      </c>
      <c r="AG47" s="2" t="str">
        <f>IF(AG$41="","",MINDS!AG$61)</f>
        <v/>
      </c>
      <c r="AH47" s="2" t="str">
        <f>IF(AH$41="","",MINDS!AH$61)</f>
        <v/>
      </c>
      <c r="AI47" s="2" t="str">
        <f>IF(AI$41="","",MINDS!AI$61)</f>
        <v/>
      </c>
      <c r="AJ47" s="2" t="str">
        <f>IF(AJ$41="","",MINDS!AJ$61)</f>
        <v/>
      </c>
      <c r="AK47" s="2" t="str">
        <f>IF(AK$41="","",MINDS!AK$61)</f>
        <v/>
      </c>
      <c r="AL47" s="2" t="str">
        <f>IF(AL$41="","",MINDS!AL$61)</f>
        <v/>
      </c>
      <c r="AM47" s="2" t="str">
        <f>IF(AM$41="","",MINDS!AM$61)</f>
        <v/>
      </c>
      <c r="AN47" s="2" t="str">
        <f>IF(AN$41="","",MINDS!AN$61)</f>
        <v/>
      </c>
      <c r="AO47" s="2" t="str">
        <f>IF(AO$41="","",MINDS!AO$61)</f>
        <v/>
      </c>
      <c r="AP47" s="2" t="str">
        <f>IF(AP$41="","",MINDS!AP$61)</f>
        <v/>
      </c>
      <c r="AQ47" s="2" t="str">
        <f>IF(AQ$41="","",MINDS!AQ$61)</f>
        <v/>
      </c>
      <c r="AR47" s="2" t="str">
        <f>IF(AR$41="","",MINDS!AR$61)</f>
        <v/>
      </c>
      <c r="AS47" s="2" t="str">
        <f>IF(AS$41="","",MINDS!AS$61)</f>
        <v/>
      </c>
      <c r="AT47" s="2" t="str">
        <f>IF(AT$41="","",MINDS!AT$61)</f>
        <v/>
      </c>
      <c r="AU47" s="2" t="str">
        <f>IF(AU$41="","",MINDS!AU$61)</f>
        <v/>
      </c>
      <c r="AV47" s="2" t="str">
        <f>IF(AV$41="","",MINDS!AV$61)</f>
        <v/>
      </c>
      <c r="AW47" s="2" t="str">
        <f>IF(AW$41="","",MINDS!AW$61)</f>
        <v/>
      </c>
      <c r="AX47" s="2" t="str">
        <f>IF(AX$41="","",MINDS!AX$61)</f>
        <v/>
      </c>
      <c r="AY47" s="2" t="str">
        <f>IF(AY$41="","",MINDS!AY$61)</f>
        <v/>
      </c>
      <c r="AZ47" s="2" t="str">
        <f>IF(AZ$41="","",MINDS!AZ$61)</f>
        <v/>
      </c>
      <c r="BA47" s="2" t="str">
        <f>IF(BA$41="","",MINDS!BA$61)</f>
        <v/>
      </c>
      <c r="BB47" s="2" t="str">
        <f>IF(BB$41="","",MINDS!BB$61)</f>
        <v/>
      </c>
      <c r="BC47" s="2" t="str">
        <f>IF(BC$41="","",MINDS!BC$61)</f>
        <v/>
      </c>
      <c r="BD47" s="2" t="str">
        <f>IF(BD$41="","",MINDS!BD$61)</f>
        <v/>
      </c>
      <c r="BE47" s="2" t="str">
        <f>IF(BE$41="","",MINDS!BE$61)</f>
        <v/>
      </c>
      <c r="BF47" s="2" t="str">
        <f>IF(BF$41="","",MINDS!BF$61)</f>
        <v/>
      </c>
      <c r="BG47" s="2" t="str">
        <f>IF(BG$41="","",MINDS!BG$61)</f>
        <v/>
      </c>
      <c r="BH47" s="2" t="str">
        <f>IF(BH$41="","",MINDS!BH$61)</f>
        <v/>
      </c>
      <c r="BI47" s="2" t="str">
        <f>IF(BI$41="","",MINDS!BI$61)</f>
        <v/>
      </c>
      <c r="BJ47" s="2" t="str">
        <f>IF(BJ$41="","",MINDS!BJ$61)</f>
        <v/>
      </c>
      <c r="BK47" s="2" t="str">
        <f>IF(BK$41="","",MINDS!BK$61)</f>
        <v/>
      </c>
      <c r="BL47" s="2" t="str">
        <f>IF(BL$41="","",MINDS!BL$61)</f>
        <v/>
      </c>
      <c r="BM47" s="2" t="str">
        <f>IF(BM$41="","",MINDS!BM$61)</f>
        <v/>
      </c>
      <c r="BN47" s="2" t="str">
        <f>IF(BN$41="","",MINDS!BN$61)</f>
        <v/>
      </c>
      <c r="BO47" s="2" t="str">
        <f>IF(BO$41="","",MINDS!BO$61)</f>
        <v/>
      </c>
      <c r="BP47" s="2" t="str">
        <f>IF(BP$41="","",MINDS!BP$61)</f>
        <v/>
      </c>
      <c r="BQ47" s="2" t="str">
        <f>IF(BQ$41="","",MINDS!BQ$61)</f>
        <v/>
      </c>
      <c r="BR47" s="2" t="str">
        <f>IF(BR$41="","",MINDS!BR$61)</f>
        <v/>
      </c>
      <c r="BS47" s="2" t="str">
        <f>IF(BS$41="","",MINDS!BS$61)</f>
        <v/>
      </c>
      <c r="BT47" s="2" t="str">
        <f>IF(BT$41="","",MINDS!BT$61)</f>
        <v/>
      </c>
      <c r="BU47" s="2" t="str">
        <f>IF(BU$41="","",MINDS!BU$61)</f>
        <v/>
      </c>
      <c r="BV47" s="2" t="str">
        <f>IF(BV$41="","",MINDS!BV$61)</f>
        <v/>
      </c>
      <c r="BW47" s="2" t="str">
        <f>IF(BW$41="","",MINDS!BW$61)</f>
        <v/>
      </c>
      <c r="BX47" s="2" t="str">
        <f>IF(BX$41="","",MINDS!BX$61)</f>
        <v/>
      </c>
      <c r="BY47" s="2" t="str">
        <f>IF(BY$41="","",MINDS!BY$61)</f>
        <v/>
      </c>
      <c r="BZ47" s="2" t="str">
        <f>IF(BZ$41="","",MINDS!BZ$61)</f>
        <v/>
      </c>
      <c r="CA47" s="2" t="str">
        <f>IF(CA$41="","",MINDS!CA$61)</f>
        <v/>
      </c>
      <c r="CB47" s="2" t="str">
        <f>IF(CB$41="","",MINDS!CB$61)</f>
        <v/>
      </c>
      <c r="CC47" s="2" t="str">
        <f>IF(CC$41="","",MINDS!CC$61)</f>
        <v/>
      </c>
      <c r="CD47" s="2" t="str">
        <f>IF(CD$41="","",MINDS!CD$61)</f>
        <v/>
      </c>
      <c r="CE47" s="2" t="str">
        <f>IF(CE$41="","",MINDS!CE$61)</f>
        <v/>
      </c>
      <c r="CF47" s="2" t="str">
        <f>IF(CF$41="","",MINDS!CF$61)</f>
        <v/>
      </c>
      <c r="CG47" s="2" t="str">
        <f>IF(CG$41="","",MINDS!CG$61)</f>
        <v/>
      </c>
      <c r="CH47" s="2" t="str">
        <f>IF(CH$41="","",MINDS!CH$61)</f>
        <v/>
      </c>
      <c r="CI47" s="2" t="str">
        <f>IF(CI$41="","",MINDS!CI$61)</f>
        <v/>
      </c>
      <c r="CJ47" s="2" t="str">
        <f>IF(CJ$41="","",MINDS!CJ$61)</f>
        <v/>
      </c>
      <c r="CK47" s="2" t="str">
        <f>IF(CK$41="","",MINDS!CK$61)</f>
        <v/>
      </c>
      <c r="CL47" s="2" t="str">
        <f>IF(CL$41="","",MINDS!CL$61)</f>
        <v/>
      </c>
      <c r="CM47" s="2" t="str">
        <f>IF(CM$41="","",MINDS!CM$61)</f>
        <v/>
      </c>
      <c r="CN47" s="2" t="str">
        <f>IF(CN$41="","",MINDS!CN$61)</f>
        <v/>
      </c>
      <c r="CO47" s="2" t="str">
        <f>IF(CO$41="","",MINDS!CO$61)</f>
        <v/>
      </c>
      <c r="CP47" s="2" t="str">
        <f>IF(CP$41="","",MINDS!CP$61)</f>
        <v/>
      </c>
      <c r="CQ47" s="2" t="str">
        <f>IF(CQ$41="","",MINDS!CQ$61)</f>
        <v/>
      </c>
      <c r="CR47" s="2" t="str">
        <f>IF(CR$41="","",MINDS!CR$61)</f>
        <v/>
      </c>
      <c r="CS47" s="2" t="str">
        <f>IF(CS$41="","",MINDS!CS$61)</f>
        <v/>
      </c>
      <c r="CT47" s="2" t="str">
        <f>IF(CT$41="","",MINDS!CT$61)</f>
        <v/>
      </c>
      <c r="CU47" s="2" t="str">
        <f>IF(CU$41="","",MINDS!CU$61)</f>
        <v/>
      </c>
      <c r="CV47" s="2" t="str">
        <f>IF(CV$41="","",MINDS!CV$61)</f>
        <v/>
      </c>
      <c r="CW47" s="2" t="str">
        <f>IF(CW$41="","",MINDS!CW$61)</f>
        <v/>
      </c>
      <c r="CX47" s="2" t="str">
        <f>IF(CX$41="","",MINDS!CX$61)</f>
        <v/>
      </c>
      <c r="CY47" s="2" t="str">
        <f>IF(CY$41="","",MINDS!CY$61)</f>
        <v/>
      </c>
      <c r="CZ47" s="2" t="str">
        <f>IF(CZ$41="","",MINDS!CZ$61)</f>
        <v/>
      </c>
      <c r="DA47" s="2" t="str">
        <f>IF(DA$41="","",MINDS!DA$61)</f>
        <v/>
      </c>
      <c r="DB47" s="2" t="str">
        <f>IF(DB$41="","",MINDS!DB$61)</f>
        <v/>
      </c>
      <c r="DC47" s="2" t="str">
        <f>IF(DC$41="","",MINDS!DC$61)</f>
        <v/>
      </c>
      <c r="DD47" s="2" t="str">
        <f>IF(DD$41="","",MINDS!DD$61)</f>
        <v/>
      </c>
      <c r="DE47" s="2" t="str">
        <f>IF(DE$41="","",MINDS!DE$61)</f>
        <v/>
      </c>
      <c r="DF47" s="2" t="str">
        <f>IF(DF$41="","",MINDS!DF$61)</f>
        <v/>
      </c>
      <c r="DG47" s="2" t="str">
        <f>IF(DG$41="","",MINDS!DG$61)</f>
        <v/>
      </c>
      <c r="DH47" s="2" t="str">
        <f>IF(DH$41="","",MINDS!DH$61)</f>
        <v/>
      </c>
      <c r="DI47" s="2" t="str">
        <f>IF(DI$41="","",MINDS!DI$61)</f>
        <v/>
      </c>
      <c r="DJ47" s="2" t="str">
        <f>IF(DJ$41="","",MINDS!DJ$61)</f>
        <v/>
      </c>
      <c r="DK47" s="2" t="str">
        <f>IF(DK$41="","",MINDS!DK$61)</f>
        <v/>
      </c>
      <c r="DL47" s="2" t="str">
        <f>IF(DL$41="","",MINDS!DL$61)</f>
        <v/>
      </c>
      <c r="DM47" s="2" t="str">
        <f>IF(DM$41="","",MINDS!DM$61)</f>
        <v/>
      </c>
      <c r="DN47" s="2" t="str">
        <f>IF(DN$41="","",MINDS!DN$61)</f>
        <v/>
      </c>
      <c r="DO47" s="2" t="str">
        <f>IF(DO$41="","",MINDS!DO$61)</f>
        <v/>
      </c>
      <c r="DP47" s="2" t="str">
        <f>IF(DP$41="","",MINDS!DP$61)</f>
        <v/>
      </c>
      <c r="DQ47" s="2" t="str">
        <f>IF(DQ$41="","",MINDS!DQ$61)</f>
        <v/>
      </c>
      <c r="DR47" s="2" t="str">
        <f>IF(DR$41="","",MINDS!DR$61)</f>
        <v/>
      </c>
      <c r="DS47" s="2" t="str">
        <f>IF(DS$41="","",MINDS!DS$61)</f>
        <v/>
      </c>
      <c r="DT47" s="2" t="str">
        <f>IF(DT$41="","",MINDS!DT$61)</f>
        <v/>
      </c>
      <c r="DU47" s="2" t="str">
        <f>IF(DU$41="","",MINDS!DU$61)</f>
        <v/>
      </c>
      <c r="DV47" s="2" t="str">
        <f>IF(DV$41="","",MINDS!DV$61)</f>
        <v/>
      </c>
      <c r="DW47" s="2" t="str">
        <f>IF(DW$41="","",MINDS!DW$61)</f>
        <v/>
      </c>
      <c r="DX47" s="2" t="str">
        <f>IF(DX$41="","",MINDS!DX$61)</f>
        <v/>
      </c>
      <c r="DY47" s="2" t="str">
        <f>IF(DY$41="","",MINDS!DY$61)</f>
        <v/>
      </c>
      <c r="DZ47" s="2" t="str">
        <f>IF(DZ$41="","",MINDS!DZ$61)</f>
        <v/>
      </c>
      <c r="EA47" s="2" t="str">
        <f>IF(EA$41="","",MINDS!EA$61)</f>
        <v/>
      </c>
      <c r="EB47" s="2" t="str">
        <f>IF(EB$41="","",MINDS!EB$61)</f>
        <v/>
      </c>
      <c r="EC47" s="2" t="str">
        <f>IF(EC$41="","",MINDS!EC$61)</f>
        <v/>
      </c>
      <c r="ED47" s="2" t="str">
        <f>IF(ED$41="","",MINDS!ED$61)</f>
        <v/>
      </c>
      <c r="EE47" s="2" t="str">
        <f>IF(EE$41="","",MINDS!EE$61)</f>
        <v/>
      </c>
      <c r="EF47" s="2" t="str">
        <f>IF(EF$41="","",MINDS!EF$61)</f>
        <v/>
      </c>
      <c r="EG47" s="2" t="str">
        <f>IF(EG$41="","",MINDS!EG$61)</f>
        <v/>
      </c>
      <c r="EH47" s="2" t="str">
        <f>IF(EH$41="","",MINDS!EH$61)</f>
        <v/>
      </c>
      <c r="EI47" s="2" t="str">
        <f>IF(EI$41="","",MINDS!EI$61)</f>
        <v/>
      </c>
      <c r="EJ47" s="2" t="str">
        <f>IF(EJ$41="","",MINDS!EJ$61)</f>
        <v/>
      </c>
      <c r="EK47" s="2" t="str">
        <f>IF(EK$41="","",MINDS!EK$61)</f>
        <v/>
      </c>
      <c r="EL47" s="2" t="str">
        <f>IF(EL$41="","",MINDS!EL$61)</f>
        <v/>
      </c>
      <c r="EM47" s="2" t="str">
        <f>IF(EM$41="","",MINDS!EM$61)</f>
        <v/>
      </c>
      <c r="EN47" s="2" t="str">
        <f>IF(EN$41="","",MINDS!EN$61)</f>
        <v/>
      </c>
      <c r="EO47" s="2" t="str">
        <f>IF(EO$41="","",MINDS!EO$61)</f>
        <v/>
      </c>
      <c r="EP47" s="2" t="str">
        <f>IF(EP$41="","",MINDS!EP$61)</f>
        <v/>
      </c>
      <c r="EQ47" s="2" t="str">
        <f>IF(EQ$41="","",MINDS!EQ$61)</f>
        <v/>
      </c>
      <c r="ER47" s="2" t="str">
        <f>IF(ER$41="","",MINDS!ER$61)</f>
        <v/>
      </c>
      <c r="ES47" s="2" t="str">
        <f>IF(ES$41="","",MINDS!ES$61)</f>
        <v/>
      </c>
      <c r="ET47" s="2" t="str">
        <f>IF(ET$41="","",MINDS!ET$61)</f>
        <v/>
      </c>
      <c r="EU47" s="2" t="str">
        <f>IF(EU$41="","",MINDS!EU$61)</f>
        <v/>
      </c>
      <c r="EV47" s="2" t="str">
        <f>IF(EV$41="","",MINDS!EV$61)</f>
        <v/>
      </c>
      <c r="EW47" s="2" t="str">
        <f>IF(EW$41="","",MINDS!EW$61)</f>
        <v/>
      </c>
      <c r="EX47" s="2" t="str">
        <f>IF(EX$41="","",MINDS!EX$61)</f>
        <v/>
      </c>
      <c r="EY47" s="2" t="str">
        <f>IF(EY$41="","",MINDS!EY$61)</f>
        <v/>
      </c>
      <c r="EZ47" s="2" t="str">
        <f>IF(EZ$41="","",MINDS!EZ$61)</f>
        <v/>
      </c>
      <c r="FA47" s="2" t="str">
        <f>IF(FA$41="","",MINDS!FA$61)</f>
        <v/>
      </c>
      <c r="FB47" s="2" t="str">
        <f>IF(FB$41="","",MINDS!FB$61)</f>
        <v/>
      </c>
      <c r="FC47" s="2" t="str">
        <f>IF(FC$41="","",MINDS!FC$61)</f>
        <v/>
      </c>
      <c r="FD47" s="2" t="str">
        <f>IF(FD$41="","",MINDS!FD$61)</f>
        <v/>
      </c>
      <c r="FE47" s="2" t="str">
        <f>IF(FE$41="","",MINDS!FE$61)</f>
        <v/>
      </c>
      <c r="FF47" s="2" t="str">
        <f>IF(FF$41="","",MINDS!FF$61)</f>
        <v/>
      </c>
      <c r="FG47" s="2" t="str">
        <f>IF(FG$41="","",MINDS!FG$61)</f>
        <v/>
      </c>
      <c r="FH47" s="2" t="str">
        <f>IF(FH$41="","",MINDS!FH$61)</f>
        <v/>
      </c>
      <c r="FI47" s="2" t="str">
        <f>IF(FI$41="","",MINDS!FI$61)</f>
        <v/>
      </c>
      <c r="FJ47" s="2" t="str">
        <f>IF(FJ$41="","",MINDS!FJ$61)</f>
        <v/>
      </c>
      <c r="FK47" s="2" t="str">
        <f>IF(FK$41="","",MINDS!FK$61)</f>
        <v/>
      </c>
      <c r="FL47" s="2" t="str">
        <f>IF(FL$41="","",MINDS!FL$61)</f>
        <v/>
      </c>
      <c r="FM47" s="2" t="str">
        <f>IF(FM$41="","",MINDS!FM$61)</f>
        <v/>
      </c>
      <c r="FN47" s="2" t="str">
        <f>IF(FN$41="","",MINDS!FN$61)</f>
        <v/>
      </c>
      <c r="FO47" s="2" t="str">
        <f>IF(FO$41="","",MINDS!FO$61)</f>
        <v/>
      </c>
      <c r="FP47" s="2" t="str">
        <f>IF(FP$41="","",MINDS!FP$61)</f>
        <v/>
      </c>
      <c r="FQ47" s="2" t="str">
        <f>IF(FQ$41="","",MINDS!FQ$61)</f>
        <v/>
      </c>
      <c r="FR47" s="2" t="str">
        <f>IF(FR$41="","",MINDS!FR$61)</f>
        <v/>
      </c>
      <c r="FS47" s="2" t="str">
        <f>IF(FS$41="","",MINDS!FS$61)</f>
        <v/>
      </c>
      <c r="FT47" s="2" t="str">
        <f>IF(FT$41="","",MINDS!FT$61)</f>
        <v/>
      </c>
      <c r="FU47" s="2" t="str">
        <f>IF(FU$41="","",MINDS!FU$61)</f>
        <v/>
      </c>
      <c r="FV47" s="2" t="str">
        <f>IF(FV$41="","",MINDS!FV$61)</f>
        <v/>
      </c>
      <c r="FW47" s="2" t="str">
        <f>IF(FW$41="","",MINDS!FW$61)</f>
        <v/>
      </c>
      <c r="FX47" s="2" t="str">
        <f>IF(FX$41="","",MINDS!FX$61)</f>
        <v/>
      </c>
      <c r="FY47" s="2" t="str">
        <f>IF(FY$41="","",MINDS!FY$61)</f>
        <v/>
      </c>
      <c r="FZ47" s="2" t="str">
        <f>IF(FZ$41="","",MINDS!FZ$61)</f>
        <v/>
      </c>
      <c r="GA47" s="2" t="str">
        <f>IF(GA$41="","",MINDS!GA$61)</f>
        <v/>
      </c>
      <c r="GB47" s="2" t="str">
        <f>IF(GB$41="","",MINDS!GB$61)</f>
        <v/>
      </c>
      <c r="GC47" s="2" t="str">
        <f>IF(GC$41="","",MINDS!GC$61)</f>
        <v/>
      </c>
      <c r="GD47" s="2" t="str">
        <f>IF(GD$41="","",MINDS!GD$61)</f>
        <v/>
      </c>
      <c r="GE47" s="2" t="str">
        <f>IF(GE$41="","",MINDS!GE$61)</f>
        <v/>
      </c>
      <c r="GF47" s="2" t="str">
        <f>IF(GF$41="","",MINDS!GF$61)</f>
        <v/>
      </c>
      <c r="GG47" s="2" t="str">
        <f>IF(GG$41="","",MINDS!GG$61)</f>
        <v/>
      </c>
      <c r="GH47" s="2" t="str">
        <f>IF(GH$41="","",MINDS!GH$61)</f>
        <v/>
      </c>
      <c r="GI47" s="2" t="str">
        <f>IF(GI$41="","",MINDS!GI$61)</f>
        <v/>
      </c>
      <c r="GJ47" s="2" t="str">
        <f>IF(GJ$41="","",MINDS!GJ$61)</f>
        <v/>
      </c>
      <c r="GK47" s="2" t="str">
        <f>IF(GK$41="","",MINDS!GK$61)</f>
        <v/>
      </c>
      <c r="GL47" s="2" t="str">
        <f>IF(GL$41="","",MINDS!GL$61)</f>
        <v/>
      </c>
      <c r="GM47" s="2" t="str">
        <f>IF(GM$41="","",MINDS!GM$61)</f>
        <v/>
      </c>
      <c r="GN47" s="2" t="str">
        <f>IF(GN$41="","",MINDS!GN$61)</f>
        <v/>
      </c>
      <c r="GO47" s="2" t="str">
        <f>IF(GO$41="","",MINDS!GO$61)</f>
        <v/>
      </c>
      <c r="GP47" s="2" t="str">
        <f>IF(GP$41="","",MINDS!GP$61)</f>
        <v/>
      </c>
      <c r="GQ47" s="2" t="str">
        <f>IF(GQ$41="","",MINDS!GQ$61)</f>
        <v/>
      </c>
      <c r="GR47" s="2" t="str">
        <f>IF(GR$41="","",MINDS!GR$61)</f>
        <v/>
      </c>
      <c r="GS47" s="2" t="str">
        <f>IF(GS$41="","",MINDS!GS$61)</f>
        <v/>
      </c>
      <c r="GT47" s="2" t="str">
        <f>IF(GT$41="","",MINDS!GT$61)</f>
        <v/>
      </c>
      <c r="GU47" s="2" t="str">
        <f>IF(GU$41="","",MINDS!GU$61)</f>
        <v/>
      </c>
      <c r="GV47" s="2" t="str">
        <f>IF(GV$41="","",MINDS!GV$61)</f>
        <v/>
      </c>
      <c r="GW47" s="2" t="str">
        <f>IF(GW$41="","",MINDS!GW$61)</f>
        <v/>
      </c>
      <c r="GX47" s="2" t="str">
        <f>IF(GX$41="","",MINDS!GX$61)</f>
        <v/>
      </c>
      <c r="GY47" s="2" t="str">
        <f>IF(GY$41="","",MINDS!GY$61)</f>
        <v/>
      </c>
      <c r="GZ47" s="2" t="str">
        <f>IF(GZ$41="","",MINDS!GZ$61)</f>
        <v/>
      </c>
      <c r="HA47" s="2" t="str">
        <f>IF(HA$41="","",MINDS!HA$61)</f>
        <v/>
      </c>
      <c r="HB47" s="2" t="str">
        <f>IF(HB$41="","",MINDS!HB$61)</f>
        <v/>
      </c>
      <c r="HC47" s="2" t="str">
        <f>IF(HC$41="","",MINDS!HC$61)</f>
        <v/>
      </c>
      <c r="HD47" s="2" t="str">
        <f>IF(HD$41="","",MINDS!HD$61)</f>
        <v/>
      </c>
      <c r="HE47" s="2" t="str">
        <f>IF(HE$41="","",MINDS!HE$61)</f>
        <v/>
      </c>
      <c r="HF47" s="2" t="str">
        <f>IF(HF$41="","",MINDS!HF$61)</f>
        <v/>
      </c>
      <c r="HG47" s="2" t="str">
        <f>IF(HG$41="","",MINDS!HG$61)</f>
        <v/>
      </c>
      <c r="HH47" s="2" t="str">
        <f>IF(HH$41="","",MINDS!HH$61)</f>
        <v/>
      </c>
      <c r="HI47" s="2" t="str">
        <f>IF(HI$41="","",MINDS!HI$61)</f>
        <v/>
      </c>
      <c r="HJ47" s="2" t="str">
        <f>IF(HJ$41="","",MINDS!HJ$61)</f>
        <v/>
      </c>
      <c r="HK47" s="2" t="str">
        <f>IF(HK$41="","",MINDS!HK$61)</f>
        <v/>
      </c>
      <c r="HL47" s="2" t="str">
        <f>IF(HL$41="","",MINDS!HL$61)</f>
        <v/>
      </c>
      <c r="HM47" s="2" t="str">
        <f>IF(HM$41="","",MINDS!HM$61)</f>
        <v/>
      </c>
      <c r="HN47" s="2" t="str">
        <f>IF(HN$41="","",MINDS!HN$61)</f>
        <v/>
      </c>
      <c r="HO47" s="2" t="str">
        <f>IF(HO$41="","",MINDS!HO$61)</f>
        <v/>
      </c>
      <c r="HP47" s="2" t="str">
        <f>IF(HP$41="","",MINDS!HP$61)</f>
        <v/>
      </c>
      <c r="HQ47" s="2" t="str">
        <f>IF(HQ$41="","",MINDS!HQ$61)</f>
        <v/>
      </c>
      <c r="HR47" s="2" t="str">
        <f>IF(HR$41="","",MINDS!HR$61)</f>
        <v/>
      </c>
      <c r="HS47" s="2" t="str">
        <f>IF(HS$41="","",MINDS!HS$61)</f>
        <v/>
      </c>
      <c r="HT47" s="2" t="str">
        <f>IF(HT$41="","",MINDS!HT$61)</f>
        <v/>
      </c>
      <c r="HU47" s="2" t="str">
        <f>IF(HU$41="","",MINDS!HU$61)</f>
        <v/>
      </c>
      <c r="HV47" s="2" t="str">
        <f>IF(HV$41="","",MINDS!HV$61)</f>
        <v/>
      </c>
      <c r="HW47" s="2" t="str">
        <f>IF(HW$41="","",MINDS!HW$61)</f>
        <v/>
      </c>
      <c r="HX47" s="2" t="str">
        <f>IF(HX$41="","",MINDS!HX$61)</f>
        <v/>
      </c>
      <c r="HY47" s="2" t="str">
        <f>IF(HY$41="","",MINDS!HY$61)</f>
        <v/>
      </c>
      <c r="HZ47" s="2" t="str">
        <f>IF(HZ$41="","",MINDS!HZ$61)</f>
        <v/>
      </c>
      <c r="IA47" s="2" t="str">
        <f>IF(IA$41="","",MINDS!IA$61)</f>
        <v/>
      </c>
      <c r="IB47" s="2" t="str">
        <f>IF(IB$41="","",MINDS!IB$61)</f>
        <v/>
      </c>
      <c r="IC47" s="2" t="str">
        <f>IF(IC$41="","",MINDS!IC$61)</f>
        <v/>
      </c>
      <c r="ID47" s="2" t="str">
        <f>IF(ID$41="","",MINDS!ID$61)</f>
        <v/>
      </c>
      <c r="IE47" s="2" t="str">
        <f>IF(IE$41="","",MINDS!IE$61)</f>
        <v/>
      </c>
      <c r="IF47" s="2" t="str">
        <f>IF(IF$41="","",MINDS!IF$61)</f>
        <v/>
      </c>
      <c r="IG47" s="2" t="str">
        <f>IF(IG$41="","",MINDS!IG$61)</f>
        <v/>
      </c>
      <c r="IH47" s="2" t="str">
        <f>IF(IH$41="","",MINDS!IH$61)</f>
        <v/>
      </c>
      <c r="II47" s="2" t="str">
        <f>IF(II$41="","",MINDS!II$61)</f>
        <v/>
      </c>
      <c r="IJ47" s="2" t="str">
        <f>IF(IJ$41="","",MINDS!IJ$61)</f>
        <v/>
      </c>
      <c r="IK47" s="2" t="str">
        <f>IF(IK$41="","",MINDS!IK$61)</f>
        <v/>
      </c>
      <c r="IL47" s="2" t="str">
        <f>IF(IL$41="","",MINDS!IL$61)</f>
        <v/>
      </c>
      <c r="IM47" s="2" t="str">
        <f>IF(IM$41="","",MINDS!IM$61)</f>
        <v/>
      </c>
      <c r="IN47" s="2" t="str">
        <f>IF(IN$41="","",MINDS!IN$61)</f>
        <v/>
      </c>
      <c r="IO47" s="2" t="str">
        <f>IF(IO$41="","",MINDS!IO$61)</f>
        <v/>
      </c>
      <c r="IP47" s="2" t="str">
        <f>IF(IP$41="","",MINDS!IP$61)</f>
        <v/>
      </c>
      <c r="IQ47" s="2" t="str">
        <f>IF(IQ$41="","",MINDS!IQ$61)</f>
        <v/>
      </c>
      <c r="IR47" s="2" t="str">
        <f>IF(IR$41="","",MINDS!IR$61)</f>
        <v/>
      </c>
      <c r="IS47" s="2" t="str">
        <f>IF(IS$41="","",MINDS!IS$61)</f>
        <v/>
      </c>
      <c r="IT47" s="2" t="str">
        <f>IF(IT$41="","",MINDS!IT$61)</f>
        <v/>
      </c>
      <c r="IU47" s="2" t="str">
        <f>IF(IU$41="","",MINDS!IU$61)</f>
        <v/>
      </c>
      <c r="IV47" s="2" t="str">
        <f>IF(IV$41="","",MINDS!IV$61)</f>
        <v/>
      </c>
    </row>
    <row r="48" spans="1:256" x14ac:dyDescent="0.2">
      <c r="A48" s="3" t="s">
        <v>13</v>
      </c>
      <c r="C48" s="2" t="str">
        <f>IF(C$41="","",MINDS!C$59)</f>
        <v/>
      </c>
      <c r="D48" s="2" t="str">
        <f>IF(D$41="","",MINDS!D$59)</f>
        <v/>
      </c>
      <c r="E48" s="2" t="str">
        <f>IF(E$41="","",MINDS!E$59)</f>
        <v/>
      </c>
      <c r="F48" s="2" t="str">
        <f>IF(F$41="","",MINDS!F$59)</f>
        <v/>
      </c>
      <c r="G48" s="2" t="str">
        <f>IF(G$41="","",MINDS!G$59)</f>
        <v/>
      </c>
      <c r="H48" s="2" t="str">
        <f>IF(H$41="","",MINDS!H$59)</f>
        <v/>
      </c>
      <c r="I48" s="2" t="str">
        <f>IF(I$41="","",MINDS!I$59)</f>
        <v/>
      </c>
      <c r="J48" s="2" t="str">
        <f>IF(J$41="","",MINDS!J$59)</f>
        <v/>
      </c>
      <c r="K48" s="2" t="str">
        <f>IF(K$41="","",MINDS!K$59)</f>
        <v/>
      </c>
      <c r="L48" s="2" t="str">
        <f>IF(L$41="","",MINDS!L$59)</f>
        <v/>
      </c>
      <c r="M48" s="2" t="str">
        <f>IF(M$41="","",MINDS!M$59)</f>
        <v/>
      </c>
      <c r="N48" s="2" t="str">
        <f>IF(N$41="","",MINDS!N$59)</f>
        <v/>
      </c>
      <c r="O48" s="2" t="str">
        <f>IF(O$41="","",MINDS!O$59)</f>
        <v/>
      </c>
      <c r="P48" s="2" t="str">
        <f>IF(P$41="","",MINDS!P$59)</f>
        <v/>
      </c>
      <c r="Q48" s="2" t="str">
        <f>IF(Q$41="","",MINDS!Q$59)</f>
        <v/>
      </c>
      <c r="R48" s="2" t="str">
        <f>IF(R$41="","",MINDS!R$59)</f>
        <v/>
      </c>
      <c r="S48" s="2" t="str">
        <f>IF(S$41="","",MINDS!S$59)</f>
        <v/>
      </c>
      <c r="T48" s="2" t="str">
        <f>IF(T$41="","",MINDS!T$59)</f>
        <v/>
      </c>
      <c r="U48" s="2" t="str">
        <f>IF(U$41="","",MINDS!U$59)</f>
        <v/>
      </c>
      <c r="V48" s="2" t="str">
        <f>IF(V$41="","",MINDS!V$59)</f>
        <v/>
      </c>
      <c r="W48" s="2" t="str">
        <f>IF(W$41="","",MINDS!W$59)</f>
        <v/>
      </c>
      <c r="X48" s="2" t="str">
        <f>IF(X$41="","",MINDS!X$59)</f>
        <v/>
      </c>
      <c r="Y48" s="2" t="str">
        <f>IF(Y$41="","",MINDS!Y$59)</f>
        <v/>
      </c>
      <c r="Z48" s="2" t="str">
        <f>IF(Z$41="","",MINDS!Z$59)</f>
        <v/>
      </c>
      <c r="AA48" s="2" t="str">
        <f>IF(AA$41="","",MINDS!AA$59)</f>
        <v/>
      </c>
      <c r="AB48" s="2" t="str">
        <f>IF(AB$41="","",MINDS!AB$59)</f>
        <v/>
      </c>
      <c r="AC48" s="2" t="str">
        <f>IF(AC$41="","",MINDS!AC$59)</f>
        <v/>
      </c>
      <c r="AD48" s="2" t="str">
        <f>IF(AD$41="","",MINDS!AD$59)</f>
        <v/>
      </c>
      <c r="AE48" s="2" t="str">
        <f>IF(AE$41="","",MINDS!AE$59)</f>
        <v/>
      </c>
      <c r="AF48" s="2" t="str">
        <f>IF(AF$41="","",MINDS!AF$59)</f>
        <v/>
      </c>
      <c r="AG48" s="2" t="str">
        <f>IF(AG$41="","",MINDS!AG$59)</f>
        <v/>
      </c>
      <c r="AH48" s="2" t="str">
        <f>IF(AH$41="","",MINDS!AH$59)</f>
        <v/>
      </c>
      <c r="AI48" s="2" t="str">
        <f>IF(AI$41="","",MINDS!AI$59)</f>
        <v/>
      </c>
      <c r="AJ48" s="2" t="str">
        <f>IF(AJ$41="","",MINDS!AJ$59)</f>
        <v/>
      </c>
      <c r="AK48" s="2" t="str">
        <f>IF(AK$41="","",MINDS!AK$59)</f>
        <v/>
      </c>
      <c r="AL48" s="2" t="str">
        <f>IF(AL$41="","",MINDS!AL$59)</f>
        <v/>
      </c>
      <c r="AM48" s="2" t="str">
        <f>IF(AM$41="","",MINDS!AM$59)</f>
        <v/>
      </c>
      <c r="AN48" s="2" t="str">
        <f>IF(AN$41="","",MINDS!AN$59)</f>
        <v/>
      </c>
      <c r="AO48" s="2" t="str">
        <f>IF(AO$41="","",MINDS!AO$59)</f>
        <v/>
      </c>
      <c r="AP48" s="2" t="str">
        <f>IF(AP$41="","",MINDS!AP$59)</f>
        <v/>
      </c>
      <c r="AQ48" s="2" t="str">
        <f>IF(AQ$41="","",MINDS!AQ$59)</f>
        <v/>
      </c>
      <c r="AR48" s="2" t="str">
        <f>IF(AR$41="","",MINDS!AR$59)</f>
        <v/>
      </c>
      <c r="AS48" s="2" t="str">
        <f>IF(AS$41="","",MINDS!AS$59)</f>
        <v/>
      </c>
      <c r="AT48" s="2" t="str">
        <f>IF(AT$41="","",MINDS!AT$59)</f>
        <v/>
      </c>
      <c r="AU48" s="2" t="str">
        <f>IF(AU$41="","",MINDS!AU$59)</f>
        <v/>
      </c>
      <c r="AV48" s="2" t="str">
        <f>IF(AV$41="","",MINDS!AV$59)</f>
        <v/>
      </c>
      <c r="AW48" s="2" t="str">
        <f>IF(AW$41="","",MINDS!AW$59)</f>
        <v/>
      </c>
      <c r="AX48" s="2" t="str">
        <f>IF(AX$41="","",MINDS!AX$59)</f>
        <v/>
      </c>
      <c r="AY48" s="2" t="str">
        <f>IF(AY$41="","",MINDS!AY$59)</f>
        <v/>
      </c>
      <c r="AZ48" s="2" t="str">
        <f>IF(AZ$41="","",MINDS!AZ$59)</f>
        <v/>
      </c>
      <c r="BA48" s="2" t="str">
        <f>IF(BA$41="","",MINDS!BA$59)</f>
        <v/>
      </c>
      <c r="BB48" s="2" t="str">
        <f>IF(BB$41="","",MINDS!BB$59)</f>
        <v/>
      </c>
      <c r="BC48" s="2" t="str">
        <f>IF(BC$41="","",MINDS!BC$59)</f>
        <v/>
      </c>
      <c r="BD48" s="2" t="str">
        <f>IF(BD$41="","",MINDS!BD$59)</f>
        <v/>
      </c>
      <c r="BE48" s="2" t="str">
        <f>IF(BE$41="","",MINDS!BE$59)</f>
        <v/>
      </c>
      <c r="BF48" s="2" t="str">
        <f>IF(BF$41="","",MINDS!BF$59)</f>
        <v/>
      </c>
      <c r="BG48" s="2" t="str">
        <f>IF(BG$41="","",MINDS!BG$59)</f>
        <v/>
      </c>
      <c r="BH48" s="2" t="str">
        <f>IF(BH$41="","",MINDS!BH$59)</f>
        <v/>
      </c>
      <c r="BI48" s="2" t="str">
        <f>IF(BI$41="","",MINDS!BI$59)</f>
        <v/>
      </c>
      <c r="BJ48" s="2" t="str">
        <f>IF(BJ$41="","",MINDS!BJ$59)</f>
        <v/>
      </c>
      <c r="BK48" s="2" t="str">
        <f>IF(BK$41="","",MINDS!BK$59)</f>
        <v/>
      </c>
      <c r="BL48" s="2" t="str">
        <f>IF(BL$41="","",MINDS!BL$59)</f>
        <v/>
      </c>
      <c r="BM48" s="2" t="str">
        <f>IF(BM$41="","",MINDS!BM$59)</f>
        <v/>
      </c>
      <c r="BN48" s="2" t="str">
        <f>IF(BN$41="","",MINDS!BN$59)</f>
        <v/>
      </c>
      <c r="BO48" s="2" t="str">
        <f>IF(BO$41="","",MINDS!BO$59)</f>
        <v/>
      </c>
      <c r="BP48" s="2" t="str">
        <f>IF(BP$41="","",MINDS!BP$59)</f>
        <v/>
      </c>
      <c r="BQ48" s="2" t="str">
        <f>IF(BQ$41="","",MINDS!BQ$59)</f>
        <v/>
      </c>
      <c r="BR48" s="2" t="str">
        <f>IF(BR$41="","",MINDS!BR$59)</f>
        <v/>
      </c>
      <c r="BS48" s="2" t="str">
        <f>IF(BS$41="","",MINDS!BS$59)</f>
        <v/>
      </c>
      <c r="BT48" s="2" t="str">
        <f>IF(BT$41="","",MINDS!BT$59)</f>
        <v/>
      </c>
      <c r="BU48" s="2" t="str">
        <f>IF(BU$41="","",MINDS!BU$59)</f>
        <v/>
      </c>
      <c r="BV48" s="2" t="str">
        <f>IF(BV$41="","",MINDS!BV$59)</f>
        <v/>
      </c>
      <c r="BW48" s="2" t="str">
        <f>IF(BW$41="","",MINDS!BW$59)</f>
        <v/>
      </c>
      <c r="BX48" s="2" t="str">
        <f>IF(BX$41="","",MINDS!BX$59)</f>
        <v/>
      </c>
      <c r="BY48" s="2" t="str">
        <f>IF(BY$41="","",MINDS!BY$59)</f>
        <v/>
      </c>
      <c r="BZ48" s="2" t="str">
        <f>IF(BZ$41="","",MINDS!BZ$59)</f>
        <v/>
      </c>
      <c r="CA48" s="2" t="str">
        <f>IF(CA$41="","",MINDS!CA$59)</f>
        <v/>
      </c>
      <c r="CB48" s="2" t="str">
        <f>IF(CB$41="","",MINDS!CB$59)</f>
        <v/>
      </c>
      <c r="CC48" s="2" t="str">
        <f>IF(CC$41="","",MINDS!CC$59)</f>
        <v/>
      </c>
      <c r="CD48" s="2" t="str">
        <f>IF(CD$41="","",MINDS!CD$59)</f>
        <v/>
      </c>
      <c r="CE48" s="2" t="str">
        <f>IF(CE$41="","",MINDS!CE$59)</f>
        <v/>
      </c>
      <c r="CF48" s="2" t="str">
        <f>IF(CF$41="","",MINDS!CF$59)</f>
        <v/>
      </c>
      <c r="CG48" s="2" t="str">
        <f>IF(CG$41="","",MINDS!CG$59)</f>
        <v/>
      </c>
      <c r="CH48" s="2" t="str">
        <f>IF(CH$41="","",MINDS!CH$59)</f>
        <v/>
      </c>
      <c r="CI48" s="2" t="str">
        <f>IF(CI$41="","",MINDS!CI$59)</f>
        <v/>
      </c>
      <c r="CJ48" s="2" t="str">
        <f>IF(CJ$41="","",MINDS!CJ$59)</f>
        <v/>
      </c>
      <c r="CK48" s="2" t="str">
        <f>IF(CK$41="","",MINDS!CK$59)</f>
        <v/>
      </c>
      <c r="CL48" s="2" t="str">
        <f>IF(CL$41="","",MINDS!CL$59)</f>
        <v/>
      </c>
      <c r="CM48" s="2" t="str">
        <f>IF(CM$41="","",MINDS!CM$59)</f>
        <v/>
      </c>
      <c r="CN48" s="2" t="str">
        <f>IF(CN$41="","",MINDS!CN$59)</f>
        <v/>
      </c>
      <c r="CO48" s="2" t="str">
        <f>IF(CO$41="","",MINDS!CO$59)</f>
        <v/>
      </c>
      <c r="CP48" s="2" t="str">
        <f>IF(CP$41="","",MINDS!CP$59)</f>
        <v/>
      </c>
      <c r="CQ48" s="2" t="str">
        <f>IF(CQ$41="","",MINDS!CQ$59)</f>
        <v/>
      </c>
      <c r="CR48" s="2" t="str">
        <f>IF(CR$41="","",MINDS!CR$59)</f>
        <v/>
      </c>
      <c r="CS48" s="2" t="str">
        <f>IF(CS$41="","",MINDS!CS$59)</f>
        <v/>
      </c>
      <c r="CT48" s="2" t="str">
        <f>IF(CT$41="","",MINDS!CT$59)</f>
        <v/>
      </c>
      <c r="CU48" s="2" t="str">
        <f>IF(CU$41="","",MINDS!CU$59)</f>
        <v/>
      </c>
      <c r="CV48" s="2" t="str">
        <f>IF(CV$41="","",MINDS!CV$59)</f>
        <v/>
      </c>
      <c r="CW48" s="2" t="str">
        <f>IF(CW$41="","",MINDS!CW$59)</f>
        <v/>
      </c>
      <c r="CX48" s="2" t="str">
        <f>IF(CX$41="","",MINDS!CX$59)</f>
        <v/>
      </c>
      <c r="CY48" s="2" t="str">
        <f>IF(CY$41="","",MINDS!CY$59)</f>
        <v/>
      </c>
      <c r="CZ48" s="2" t="str">
        <f>IF(CZ$41="","",MINDS!CZ$59)</f>
        <v/>
      </c>
      <c r="DA48" s="2" t="str">
        <f>IF(DA$41="","",MINDS!DA$59)</f>
        <v/>
      </c>
      <c r="DB48" s="2" t="str">
        <f>IF(DB$41="","",MINDS!DB$59)</f>
        <v/>
      </c>
      <c r="DC48" s="2" t="str">
        <f>IF(DC$41="","",MINDS!DC$59)</f>
        <v/>
      </c>
      <c r="DD48" s="2" t="str">
        <f>IF(DD$41="","",MINDS!DD$59)</f>
        <v/>
      </c>
      <c r="DE48" s="2" t="str">
        <f>IF(DE$41="","",MINDS!DE$59)</f>
        <v/>
      </c>
      <c r="DF48" s="2" t="str">
        <f>IF(DF$41="","",MINDS!DF$59)</f>
        <v/>
      </c>
      <c r="DG48" s="2" t="str">
        <f>IF(DG$41="","",MINDS!DG$59)</f>
        <v/>
      </c>
      <c r="DH48" s="2" t="str">
        <f>IF(DH$41="","",MINDS!DH$59)</f>
        <v/>
      </c>
      <c r="DI48" s="2" t="str">
        <f>IF(DI$41="","",MINDS!DI$59)</f>
        <v/>
      </c>
      <c r="DJ48" s="2" t="str">
        <f>IF(DJ$41="","",MINDS!DJ$59)</f>
        <v/>
      </c>
      <c r="DK48" s="2" t="str">
        <f>IF(DK$41="","",MINDS!DK$59)</f>
        <v/>
      </c>
      <c r="DL48" s="2" t="str">
        <f>IF(DL$41="","",MINDS!DL$59)</f>
        <v/>
      </c>
      <c r="DM48" s="2" t="str">
        <f>IF(DM$41="","",MINDS!DM$59)</f>
        <v/>
      </c>
      <c r="DN48" s="2" t="str">
        <f>IF(DN$41="","",MINDS!DN$59)</f>
        <v/>
      </c>
      <c r="DO48" s="2" t="str">
        <f>IF(DO$41="","",MINDS!DO$59)</f>
        <v/>
      </c>
      <c r="DP48" s="2" t="str">
        <f>IF(DP$41="","",MINDS!DP$59)</f>
        <v/>
      </c>
      <c r="DQ48" s="2" t="str">
        <f>IF(DQ$41="","",MINDS!DQ$59)</f>
        <v/>
      </c>
      <c r="DR48" s="2" t="str">
        <f>IF(DR$41="","",MINDS!DR$59)</f>
        <v/>
      </c>
      <c r="DS48" s="2" t="str">
        <f>IF(DS$41="","",MINDS!DS$59)</f>
        <v/>
      </c>
      <c r="DT48" s="2" t="str">
        <f>IF(DT$41="","",MINDS!DT$59)</f>
        <v/>
      </c>
      <c r="DU48" s="2" t="str">
        <f>IF(DU$41="","",MINDS!DU$59)</f>
        <v/>
      </c>
      <c r="DV48" s="2" t="str">
        <f>IF(DV$41="","",MINDS!DV$59)</f>
        <v/>
      </c>
      <c r="DW48" s="2" t="str">
        <f>IF(DW$41="","",MINDS!DW$59)</f>
        <v/>
      </c>
      <c r="DX48" s="2" t="str">
        <f>IF(DX$41="","",MINDS!DX$59)</f>
        <v/>
      </c>
      <c r="DY48" s="2" t="str">
        <f>IF(DY$41="","",MINDS!DY$59)</f>
        <v/>
      </c>
      <c r="DZ48" s="2" t="str">
        <f>IF(DZ$41="","",MINDS!DZ$59)</f>
        <v/>
      </c>
      <c r="EA48" s="2" t="str">
        <f>IF(EA$41="","",MINDS!EA$59)</f>
        <v/>
      </c>
      <c r="EB48" s="2" t="str">
        <f>IF(EB$41="","",MINDS!EB$59)</f>
        <v/>
      </c>
      <c r="EC48" s="2" t="str">
        <f>IF(EC$41="","",MINDS!EC$59)</f>
        <v/>
      </c>
      <c r="ED48" s="2" t="str">
        <f>IF(ED$41="","",MINDS!ED$59)</f>
        <v/>
      </c>
      <c r="EE48" s="2" t="str">
        <f>IF(EE$41="","",MINDS!EE$59)</f>
        <v/>
      </c>
      <c r="EF48" s="2" t="str">
        <f>IF(EF$41="","",MINDS!EF$59)</f>
        <v/>
      </c>
      <c r="EG48" s="2" t="str">
        <f>IF(EG$41="","",MINDS!EG$59)</f>
        <v/>
      </c>
      <c r="EH48" s="2" t="str">
        <f>IF(EH$41="","",MINDS!EH$59)</f>
        <v/>
      </c>
      <c r="EI48" s="2" t="str">
        <f>IF(EI$41="","",MINDS!EI$59)</f>
        <v/>
      </c>
      <c r="EJ48" s="2" t="str">
        <f>IF(EJ$41="","",MINDS!EJ$59)</f>
        <v/>
      </c>
      <c r="EK48" s="2" t="str">
        <f>IF(EK$41="","",MINDS!EK$59)</f>
        <v/>
      </c>
      <c r="EL48" s="2" t="str">
        <f>IF(EL$41="","",MINDS!EL$59)</f>
        <v/>
      </c>
      <c r="EM48" s="2" t="str">
        <f>IF(EM$41="","",MINDS!EM$59)</f>
        <v/>
      </c>
      <c r="EN48" s="2" t="str">
        <f>IF(EN$41="","",MINDS!EN$59)</f>
        <v/>
      </c>
      <c r="EO48" s="2" t="str">
        <f>IF(EO$41="","",MINDS!EO$59)</f>
        <v/>
      </c>
      <c r="EP48" s="2" t="str">
        <f>IF(EP$41="","",MINDS!EP$59)</f>
        <v/>
      </c>
      <c r="EQ48" s="2" t="str">
        <f>IF(EQ$41="","",MINDS!EQ$59)</f>
        <v/>
      </c>
      <c r="ER48" s="2" t="str">
        <f>IF(ER$41="","",MINDS!ER$59)</f>
        <v/>
      </c>
      <c r="ES48" s="2" t="str">
        <f>IF(ES$41="","",MINDS!ES$59)</f>
        <v/>
      </c>
      <c r="ET48" s="2" t="str">
        <f>IF(ET$41="","",MINDS!ET$59)</f>
        <v/>
      </c>
      <c r="EU48" s="2" t="str">
        <f>IF(EU$41="","",MINDS!EU$59)</f>
        <v/>
      </c>
      <c r="EV48" s="2" t="str">
        <f>IF(EV$41="","",MINDS!EV$59)</f>
        <v/>
      </c>
      <c r="EW48" s="2" t="str">
        <f>IF(EW$41="","",MINDS!EW$59)</f>
        <v/>
      </c>
      <c r="EX48" s="2" t="str">
        <f>IF(EX$41="","",MINDS!EX$59)</f>
        <v/>
      </c>
      <c r="EY48" s="2" t="str">
        <f>IF(EY$41="","",MINDS!EY$59)</f>
        <v/>
      </c>
      <c r="EZ48" s="2" t="str">
        <f>IF(EZ$41="","",MINDS!EZ$59)</f>
        <v/>
      </c>
      <c r="FA48" s="2" t="str">
        <f>IF(FA$41="","",MINDS!FA$59)</f>
        <v/>
      </c>
      <c r="FB48" s="2" t="str">
        <f>IF(FB$41="","",MINDS!FB$59)</f>
        <v/>
      </c>
      <c r="FC48" s="2" t="str">
        <f>IF(FC$41="","",MINDS!FC$59)</f>
        <v/>
      </c>
      <c r="FD48" s="2" t="str">
        <f>IF(FD$41="","",MINDS!FD$59)</f>
        <v/>
      </c>
      <c r="FE48" s="2" t="str">
        <f>IF(FE$41="","",MINDS!FE$59)</f>
        <v/>
      </c>
      <c r="FF48" s="2" t="str">
        <f>IF(FF$41="","",MINDS!FF$59)</f>
        <v/>
      </c>
      <c r="FG48" s="2" t="str">
        <f>IF(FG$41="","",MINDS!FG$59)</f>
        <v/>
      </c>
      <c r="FH48" s="2" t="str">
        <f>IF(FH$41="","",MINDS!FH$59)</f>
        <v/>
      </c>
      <c r="FI48" s="2" t="str">
        <f>IF(FI$41="","",MINDS!FI$59)</f>
        <v/>
      </c>
      <c r="FJ48" s="2" t="str">
        <f>IF(FJ$41="","",MINDS!FJ$59)</f>
        <v/>
      </c>
      <c r="FK48" s="2" t="str">
        <f>IF(FK$41="","",MINDS!FK$59)</f>
        <v/>
      </c>
      <c r="FL48" s="2" t="str">
        <f>IF(FL$41="","",MINDS!FL$59)</f>
        <v/>
      </c>
      <c r="FM48" s="2" t="str">
        <f>IF(FM$41="","",MINDS!FM$59)</f>
        <v/>
      </c>
      <c r="FN48" s="2" t="str">
        <f>IF(FN$41="","",MINDS!FN$59)</f>
        <v/>
      </c>
      <c r="FO48" s="2" t="str">
        <f>IF(FO$41="","",MINDS!FO$59)</f>
        <v/>
      </c>
      <c r="FP48" s="2" t="str">
        <f>IF(FP$41="","",MINDS!FP$59)</f>
        <v/>
      </c>
      <c r="FQ48" s="2" t="str">
        <f>IF(FQ$41="","",MINDS!FQ$59)</f>
        <v/>
      </c>
      <c r="FR48" s="2" t="str">
        <f>IF(FR$41="","",MINDS!FR$59)</f>
        <v/>
      </c>
      <c r="FS48" s="2" t="str">
        <f>IF(FS$41="","",MINDS!FS$59)</f>
        <v/>
      </c>
      <c r="FT48" s="2" t="str">
        <f>IF(FT$41="","",MINDS!FT$59)</f>
        <v/>
      </c>
      <c r="FU48" s="2" t="str">
        <f>IF(FU$41="","",MINDS!FU$59)</f>
        <v/>
      </c>
      <c r="FV48" s="2" t="str">
        <f>IF(FV$41="","",MINDS!FV$59)</f>
        <v/>
      </c>
      <c r="FW48" s="2" t="str">
        <f>IF(FW$41="","",MINDS!FW$59)</f>
        <v/>
      </c>
      <c r="FX48" s="2" t="str">
        <f>IF(FX$41="","",MINDS!FX$59)</f>
        <v/>
      </c>
      <c r="FY48" s="2" t="str">
        <f>IF(FY$41="","",MINDS!FY$59)</f>
        <v/>
      </c>
      <c r="FZ48" s="2" t="str">
        <f>IF(FZ$41="","",MINDS!FZ$59)</f>
        <v/>
      </c>
      <c r="GA48" s="2" t="str">
        <f>IF(GA$41="","",MINDS!GA$59)</f>
        <v/>
      </c>
      <c r="GB48" s="2" t="str">
        <f>IF(GB$41="","",MINDS!GB$59)</f>
        <v/>
      </c>
      <c r="GC48" s="2" t="str">
        <f>IF(GC$41="","",MINDS!GC$59)</f>
        <v/>
      </c>
      <c r="GD48" s="2" t="str">
        <f>IF(GD$41="","",MINDS!GD$59)</f>
        <v/>
      </c>
      <c r="GE48" s="2" t="str">
        <f>IF(GE$41="","",MINDS!GE$59)</f>
        <v/>
      </c>
      <c r="GF48" s="2" t="str">
        <f>IF(GF$41="","",MINDS!GF$59)</f>
        <v/>
      </c>
      <c r="GG48" s="2" t="str">
        <f>IF(GG$41="","",MINDS!GG$59)</f>
        <v/>
      </c>
      <c r="GH48" s="2" t="str">
        <f>IF(GH$41="","",MINDS!GH$59)</f>
        <v/>
      </c>
      <c r="GI48" s="2" t="str">
        <f>IF(GI$41="","",MINDS!GI$59)</f>
        <v/>
      </c>
      <c r="GJ48" s="2" t="str">
        <f>IF(GJ$41="","",MINDS!GJ$59)</f>
        <v/>
      </c>
      <c r="GK48" s="2" t="str">
        <f>IF(GK$41="","",MINDS!GK$59)</f>
        <v/>
      </c>
      <c r="GL48" s="2" t="str">
        <f>IF(GL$41="","",MINDS!GL$59)</f>
        <v/>
      </c>
      <c r="GM48" s="2" t="str">
        <f>IF(GM$41="","",MINDS!GM$59)</f>
        <v/>
      </c>
      <c r="GN48" s="2" t="str">
        <f>IF(GN$41="","",MINDS!GN$59)</f>
        <v/>
      </c>
      <c r="GO48" s="2" t="str">
        <f>IF(GO$41="","",MINDS!GO$59)</f>
        <v/>
      </c>
      <c r="GP48" s="2" t="str">
        <f>IF(GP$41="","",MINDS!GP$59)</f>
        <v/>
      </c>
      <c r="GQ48" s="2" t="str">
        <f>IF(GQ$41="","",MINDS!GQ$59)</f>
        <v/>
      </c>
      <c r="GR48" s="2" t="str">
        <f>IF(GR$41="","",MINDS!GR$59)</f>
        <v/>
      </c>
      <c r="GS48" s="2" t="str">
        <f>IF(GS$41="","",MINDS!GS$59)</f>
        <v/>
      </c>
      <c r="GT48" s="2" t="str">
        <f>IF(GT$41="","",MINDS!GT$59)</f>
        <v/>
      </c>
      <c r="GU48" s="2" t="str">
        <f>IF(GU$41="","",MINDS!GU$59)</f>
        <v/>
      </c>
      <c r="GV48" s="2" t="str">
        <f>IF(GV$41="","",MINDS!GV$59)</f>
        <v/>
      </c>
      <c r="GW48" s="2" t="str">
        <f>IF(GW$41="","",MINDS!GW$59)</f>
        <v/>
      </c>
      <c r="GX48" s="2" t="str">
        <f>IF(GX$41="","",MINDS!GX$59)</f>
        <v/>
      </c>
      <c r="GY48" s="2" t="str">
        <f>IF(GY$41="","",MINDS!GY$59)</f>
        <v/>
      </c>
      <c r="GZ48" s="2" t="str">
        <f>IF(GZ$41="","",MINDS!GZ$59)</f>
        <v/>
      </c>
      <c r="HA48" s="2" t="str">
        <f>IF(HA$41="","",MINDS!HA$59)</f>
        <v/>
      </c>
      <c r="HB48" s="2" t="str">
        <f>IF(HB$41="","",MINDS!HB$59)</f>
        <v/>
      </c>
      <c r="HC48" s="2" t="str">
        <f>IF(HC$41="","",MINDS!HC$59)</f>
        <v/>
      </c>
      <c r="HD48" s="2" t="str">
        <f>IF(HD$41="","",MINDS!HD$59)</f>
        <v/>
      </c>
      <c r="HE48" s="2" t="str">
        <f>IF(HE$41="","",MINDS!HE$59)</f>
        <v/>
      </c>
      <c r="HF48" s="2" t="str">
        <f>IF(HF$41="","",MINDS!HF$59)</f>
        <v/>
      </c>
      <c r="HG48" s="2" t="str">
        <f>IF(HG$41="","",MINDS!HG$59)</f>
        <v/>
      </c>
      <c r="HH48" s="2" t="str">
        <f>IF(HH$41="","",MINDS!HH$59)</f>
        <v/>
      </c>
      <c r="HI48" s="2" t="str">
        <f>IF(HI$41="","",MINDS!HI$59)</f>
        <v/>
      </c>
      <c r="HJ48" s="2" t="str">
        <f>IF(HJ$41="","",MINDS!HJ$59)</f>
        <v/>
      </c>
      <c r="HK48" s="2" t="str">
        <f>IF(HK$41="","",MINDS!HK$59)</f>
        <v/>
      </c>
      <c r="HL48" s="2" t="str">
        <f>IF(HL$41="","",MINDS!HL$59)</f>
        <v/>
      </c>
      <c r="HM48" s="2" t="str">
        <f>IF(HM$41="","",MINDS!HM$59)</f>
        <v/>
      </c>
      <c r="HN48" s="2" t="str">
        <f>IF(HN$41="","",MINDS!HN$59)</f>
        <v/>
      </c>
      <c r="HO48" s="2" t="str">
        <f>IF(HO$41="","",MINDS!HO$59)</f>
        <v/>
      </c>
      <c r="HP48" s="2" t="str">
        <f>IF(HP$41="","",MINDS!HP$59)</f>
        <v/>
      </c>
      <c r="HQ48" s="2" t="str">
        <f>IF(HQ$41="","",MINDS!HQ$59)</f>
        <v/>
      </c>
      <c r="HR48" s="2" t="str">
        <f>IF(HR$41="","",MINDS!HR$59)</f>
        <v/>
      </c>
      <c r="HS48" s="2" t="str">
        <f>IF(HS$41="","",MINDS!HS$59)</f>
        <v/>
      </c>
      <c r="HT48" s="2" t="str">
        <f>IF(HT$41="","",MINDS!HT$59)</f>
        <v/>
      </c>
      <c r="HU48" s="2" t="str">
        <f>IF(HU$41="","",MINDS!HU$59)</f>
        <v/>
      </c>
      <c r="HV48" s="2" t="str">
        <f>IF(HV$41="","",MINDS!HV$59)</f>
        <v/>
      </c>
      <c r="HW48" s="2" t="str">
        <f>IF(HW$41="","",MINDS!HW$59)</f>
        <v/>
      </c>
      <c r="HX48" s="2" t="str">
        <f>IF(HX$41="","",MINDS!HX$59)</f>
        <v/>
      </c>
      <c r="HY48" s="2" t="str">
        <f>IF(HY$41="","",MINDS!HY$59)</f>
        <v/>
      </c>
      <c r="HZ48" s="2" t="str">
        <f>IF(HZ$41="","",MINDS!HZ$59)</f>
        <v/>
      </c>
      <c r="IA48" s="2" t="str">
        <f>IF(IA$41="","",MINDS!IA$59)</f>
        <v/>
      </c>
      <c r="IB48" s="2" t="str">
        <f>IF(IB$41="","",MINDS!IB$59)</f>
        <v/>
      </c>
      <c r="IC48" s="2" t="str">
        <f>IF(IC$41="","",MINDS!IC$59)</f>
        <v/>
      </c>
      <c r="ID48" s="2" t="str">
        <f>IF(ID$41="","",MINDS!ID$59)</f>
        <v/>
      </c>
      <c r="IE48" s="2" t="str">
        <f>IF(IE$41="","",MINDS!IE$59)</f>
        <v/>
      </c>
      <c r="IF48" s="2" t="str">
        <f>IF(IF$41="","",MINDS!IF$59)</f>
        <v/>
      </c>
      <c r="IG48" s="2" t="str">
        <f>IF(IG$41="","",MINDS!IG$59)</f>
        <v/>
      </c>
      <c r="IH48" s="2" t="str">
        <f>IF(IH$41="","",MINDS!IH$59)</f>
        <v/>
      </c>
      <c r="II48" s="2" t="str">
        <f>IF(II$41="","",MINDS!II$59)</f>
        <v/>
      </c>
      <c r="IJ48" s="2" t="str">
        <f>IF(IJ$41="","",MINDS!IJ$59)</f>
        <v/>
      </c>
      <c r="IK48" s="2" t="str">
        <f>IF(IK$41="","",MINDS!IK$59)</f>
        <v/>
      </c>
      <c r="IL48" s="2" t="str">
        <f>IF(IL$41="","",MINDS!IL$59)</f>
        <v/>
      </c>
      <c r="IM48" s="2" t="str">
        <f>IF(IM$41="","",MINDS!IM$59)</f>
        <v/>
      </c>
      <c r="IN48" s="2" t="str">
        <f>IF(IN$41="","",MINDS!IN$59)</f>
        <v/>
      </c>
      <c r="IO48" s="2" t="str">
        <f>IF(IO$41="","",MINDS!IO$59)</f>
        <v/>
      </c>
      <c r="IP48" s="2" t="str">
        <f>IF(IP$41="","",MINDS!IP$59)</f>
        <v/>
      </c>
      <c r="IQ48" s="2" t="str">
        <f>IF(IQ$41="","",MINDS!IQ$59)</f>
        <v/>
      </c>
      <c r="IR48" s="2" t="str">
        <f>IF(IR$41="","",MINDS!IR$59)</f>
        <v/>
      </c>
      <c r="IS48" s="2" t="str">
        <f>IF(IS$41="","",MINDS!IS$59)</f>
        <v/>
      </c>
      <c r="IT48" s="2" t="str">
        <f>IF(IT$41="","",MINDS!IT$59)</f>
        <v/>
      </c>
      <c r="IU48" s="2" t="str">
        <f>IF(IU$41="","",MINDS!IU$59)</f>
        <v/>
      </c>
      <c r="IV48" s="2" t="str">
        <f>IF(IV$41="","",MINDS!IV$59)</f>
        <v/>
      </c>
    </row>
    <row r="49" spans="1:256" x14ac:dyDescent="0.2">
      <c r="A49" s="3" t="s">
        <v>14</v>
      </c>
      <c r="C49" s="2" t="str">
        <f>IF(C$41="","",IF(ISBLANK(MINDS!C$62),"",MINDS!C$62))</f>
        <v/>
      </c>
      <c r="D49" s="2" t="str">
        <f>IF(D$41="","",IF(ISBLANK(MINDS!D$62),"",MINDS!D$62))</f>
        <v/>
      </c>
      <c r="E49" s="2" t="str">
        <f>IF(E$41="","",IF(ISBLANK(MINDS!E$62),"",MINDS!E$62))</f>
        <v/>
      </c>
      <c r="F49" s="2" t="str">
        <f>IF(F$41="","",IF(ISBLANK(MINDS!F$62),"",MINDS!F$62))</f>
        <v/>
      </c>
      <c r="G49" s="2" t="str">
        <f>IF(G$41="","",IF(ISBLANK(MINDS!G$62),"",MINDS!G$62))</f>
        <v/>
      </c>
      <c r="H49" s="2" t="str">
        <f>IF(H$41="","",IF(ISBLANK(MINDS!H$62),"",MINDS!H$62))</f>
        <v/>
      </c>
      <c r="I49" s="2" t="str">
        <f>IF(I$41="","",IF(ISBLANK(MINDS!I$62),"",MINDS!I$62))</f>
        <v/>
      </c>
      <c r="J49" s="2" t="str">
        <f>IF(J$41="","",IF(ISBLANK(MINDS!J$62),"",MINDS!J$62))</f>
        <v/>
      </c>
      <c r="K49" s="2" t="str">
        <f>IF(K$41="","",IF(ISBLANK(MINDS!K$62),"",MINDS!K$62))</f>
        <v/>
      </c>
      <c r="L49" s="2" t="str">
        <f>IF(L$41="","",IF(ISBLANK(MINDS!L$62),"",MINDS!L$62))</f>
        <v/>
      </c>
      <c r="M49" s="2" t="str">
        <f>IF(M$41="","",IF(ISBLANK(MINDS!M$62),"",MINDS!M$62))</f>
        <v/>
      </c>
      <c r="N49" s="2" t="str">
        <f>IF(N$41="","",IF(ISBLANK(MINDS!N$62),"",MINDS!N$62))</f>
        <v/>
      </c>
      <c r="O49" s="2" t="str">
        <f>IF(O$41="","",IF(ISBLANK(MINDS!O$62),"",MINDS!O$62))</f>
        <v/>
      </c>
      <c r="P49" s="2" t="str">
        <f>IF(P$41="","",IF(ISBLANK(MINDS!P$62),"",MINDS!P$62))</f>
        <v/>
      </c>
      <c r="Q49" s="2" t="str">
        <f>IF(Q$41="","",IF(ISBLANK(MINDS!Q$62),"",MINDS!Q$62))</f>
        <v/>
      </c>
      <c r="R49" s="2" t="str">
        <f>IF(R$41="","",IF(ISBLANK(MINDS!R$62),"",MINDS!R$62))</f>
        <v/>
      </c>
      <c r="S49" s="2" t="str">
        <f>IF(S$41="","",IF(ISBLANK(MINDS!S$62),"",MINDS!S$62))</f>
        <v/>
      </c>
      <c r="T49" s="2" t="str">
        <f>IF(T$41="","",IF(ISBLANK(MINDS!T$62),"",MINDS!T$62))</f>
        <v/>
      </c>
      <c r="U49" s="2" t="str">
        <f>IF(U$41="","",IF(ISBLANK(MINDS!U$62),"",MINDS!U$62))</f>
        <v/>
      </c>
      <c r="V49" s="2" t="str">
        <f>IF(V$41="","",IF(ISBLANK(MINDS!V$62),"",MINDS!V$62))</f>
        <v/>
      </c>
      <c r="W49" s="2" t="str">
        <f>IF(W$41="","",IF(ISBLANK(MINDS!W$62),"",MINDS!W$62))</f>
        <v/>
      </c>
      <c r="X49" s="2" t="str">
        <f>IF(X$41="","",IF(ISBLANK(MINDS!X$62),"",MINDS!X$62))</f>
        <v/>
      </c>
      <c r="Y49" s="2" t="str">
        <f>IF(Y$41="","",IF(ISBLANK(MINDS!Y$62),"",MINDS!Y$62))</f>
        <v/>
      </c>
      <c r="Z49" s="2" t="str">
        <f>IF(Z$41="","",IF(ISBLANK(MINDS!Z$62),"",MINDS!Z$62))</f>
        <v/>
      </c>
      <c r="AA49" s="2" t="str">
        <f>IF(AA$41="","",IF(ISBLANK(MINDS!AA$62),"",MINDS!AA$62))</f>
        <v/>
      </c>
      <c r="AB49" s="2" t="str">
        <f>IF(AB$41="","",IF(ISBLANK(MINDS!AB$62),"",MINDS!AB$62))</f>
        <v/>
      </c>
      <c r="AC49" s="2" t="str">
        <f>IF(AC$41="","",IF(ISBLANK(MINDS!AC$62),"",MINDS!AC$62))</f>
        <v/>
      </c>
      <c r="AD49" s="2" t="str">
        <f>IF(AD$41="","",IF(ISBLANK(MINDS!AD$62),"",MINDS!AD$62))</f>
        <v/>
      </c>
      <c r="AE49" s="2" t="str">
        <f>IF(AE$41="","",IF(ISBLANK(MINDS!AE$62),"",MINDS!AE$62))</f>
        <v/>
      </c>
      <c r="AF49" s="2" t="str">
        <f>IF(AF$41="","",IF(ISBLANK(MINDS!AF$62),"",MINDS!AF$62))</f>
        <v/>
      </c>
      <c r="AG49" s="2" t="str">
        <f>IF(AG$41="","",IF(ISBLANK(MINDS!AG$62),"",MINDS!AG$62))</f>
        <v/>
      </c>
      <c r="AH49" s="2" t="str">
        <f>IF(AH$41="","",IF(ISBLANK(MINDS!AH$62),"",MINDS!AH$62))</f>
        <v/>
      </c>
      <c r="AI49" s="2" t="str">
        <f>IF(AI$41="","",IF(ISBLANK(MINDS!AI$62),"",MINDS!AI$62))</f>
        <v/>
      </c>
      <c r="AJ49" s="2" t="str">
        <f>IF(AJ$41="","",IF(ISBLANK(MINDS!AJ$62),"",MINDS!AJ$62))</f>
        <v/>
      </c>
      <c r="AK49" s="2" t="str">
        <f>IF(AK$41="","",IF(ISBLANK(MINDS!AK$62),"",MINDS!AK$62))</f>
        <v/>
      </c>
      <c r="AL49" s="2" t="str">
        <f>IF(AL$41="","",IF(ISBLANK(MINDS!AL$62),"",MINDS!AL$62))</f>
        <v/>
      </c>
      <c r="AM49" s="2" t="str">
        <f>IF(AM$41="","",IF(ISBLANK(MINDS!AM$62),"",MINDS!AM$62))</f>
        <v/>
      </c>
      <c r="AN49" s="2" t="str">
        <f>IF(AN$41="","",IF(ISBLANK(MINDS!AN$62),"",MINDS!AN$62))</f>
        <v/>
      </c>
      <c r="AO49" s="2" t="str">
        <f>IF(AO$41="","",IF(ISBLANK(MINDS!AO$62),"",MINDS!AO$62))</f>
        <v/>
      </c>
      <c r="AP49" s="2" t="str">
        <f>IF(AP$41="","",IF(ISBLANK(MINDS!AP$62),"",MINDS!AP$62))</f>
        <v/>
      </c>
      <c r="AQ49" s="2" t="str">
        <f>IF(AQ$41="","",IF(ISBLANK(MINDS!AQ$62),"",MINDS!AQ$62))</f>
        <v/>
      </c>
      <c r="AR49" s="2" t="str">
        <f>IF(AR$41="","",IF(ISBLANK(MINDS!AR$62),"",MINDS!AR$62))</f>
        <v/>
      </c>
      <c r="AS49" s="2" t="str">
        <f>IF(AS$41="","",IF(ISBLANK(MINDS!AS$62),"",MINDS!AS$62))</f>
        <v/>
      </c>
      <c r="AT49" s="2" t="str">
        <f>IF(AT$41="","",IF(ISBLANK(MINDS!AT$62),"",MINDS!AT$62))</f>
        <v/>
      </c>
      <c r="AU49" s="2" t="str">
        <f>IF(AU$41="","",IF(ISBLANK(MINDS!AU$62),"",MINDS!AU$62))</f>
        <v/>
      </c>
      <c r="AV49" s="2" t="str">
        <f>IF(AV$41="","",IF(ISBLANK(MINDS!AV$62),"",MINDS!AV$62))</f>
        <v/>
      </c>
      <c r="AW49" s="2" t="str">
        <f>IF(AW$41="","",IF(ISBLANK(MINDS!AW$62),"",MINDS!AW$62))</f>
        <v/>
      </c>
      <c r="AX49" s="2" t="str">
        <f>IF(AX$41="","",IF(ISBLANK(MINDS!AX$62),"",MINDS!AX$62))</f>
        <v/>
      </c>
      <c r="AY49" s="2" t="str">
        <f>IF(AY$41="","",IF(ISBLANK(MINDS!AY$62),"",MINDS!AY$62))</f>
        <v/>
      </c>
      <c r="AZ49" s="2" t="str">
        <f>IF(AZ$41="","",IF(ISBLANK(MINDS!AZ$62),"",MINDS!AZ$62))</f>
        <v/>
      </c>
      <c r="BA49" s="2" t="str">
        <f>IF(BA$41="","",IF(ISBLANK(MINDS!BA$62),"",MINDS!BA$62))</f>
        <v/>
      </c>
      <c r="BB49" s="2" t="str">
        <f>IF(BB$41="","",IF(ISBLANK(MINDS!BB$62),"",MINDS!BB$62))</f>
        <v/>
      </c>
      <c r="BC49" s="2" t="str">
        <f>IF(BC$41="","",IF(ISBLANK(MINDS!BC$62),"",MINDS!BC$62))</f>
        <v/>
      </c>
      <c r="BD49" s="2" t="str">
        <f>IF(BD$41="","",IF(ISBLANK(MINDS!BD$62),"",MINDS!BD$62))</f>
        <v/>
      </c>
      <c r="BE49" s="2" t="str">
        <f>IF(BE$41="","",IF(ISBLANK(MINDS!BE$62),"",MINDS!BE$62))</f>
        <v/>
      </c>
      <c r="BF49" s="2" t="str">
        <f>IF(BF$41="","",IF(ISBLANK(MINDS!BF$62),"",MINDS!BF$62))</f>
        <v/>
      </c>
      <c r="BG49" s="2" t="str">
        <f>IF(BG$41="","",IF(ISBLANK(MINDS!BG$62),"",MINDS!BG$62))</f>
        <v/>
      </c>
      <c r="BH49" s="2" t="str">
        <f>IF(BH$41="","",IF(ISBLANK(MINDS!BH$62),"",MINDS!BH$62))</f>
        <v/>
      </c>
      <c r="BI49" s="2" t="str">
        <f>IF(BI$41="","",IF(ISBLANK(MINDS!BI$62),"",MINDS!BI$62))</f>
        <v/>
      </c>
      <c r="BJ49" s="2" t="str">
        <f>IF(BJ$41="","",IF(ISBLANK(MINDS!BJ$62),"",MINDS!BJ$62))</f>
        <v/>
      </c>
      <c r="BK49" s="2" t="str">
        <f>IF(BK$41="","",IF(ISBLANK(MINDS!BK$62),"",MINDS!BK$62))</f>
        <v/>
      </c>
      <c r="BL49" s="2" t="str">
        <f>IF(BL$41="","",IF(ISBLANK(MINDS!BL$62),"",MINDS!BL$62))</f>
        <v/>
      </c>
      <c r="BM49" s="2" t="str">
        <f>IF(BM$41="","",IF(ISBLANK(MINDS!BM$62),"",MINDS!BM$62))</f>
        <v/>
      </c>
      <c r="BN49" s="2" t="str">
        <f>IF(BN$41="","",IF(ISBLANK(MINDS!BN$62),"",MINDS!BN$62))</f>
        <v/>
      </c>
      <c r="BO49" s="2" t="str">
        <f>IF(BO$41="","",IF(ISBLANK(MINDS!BO$62),"",MINDS!BO$62))</f>
        <v/>
      </c>
      <c r="BP49" s="2" t="str">
        <f>IF(BP$41="","",IF(ISBLANK(MINDS!BP$62),"",MINDS!BP$62))</f>
        <v/>
      </c>
      <c r="BQ49" s="2" t="str">
        <f>IF(BQ$41="","",IF(ISBLANK(MINDS!BQ$62),"",MINDS!BQ$62))</f>
        <v/>
      </c>
      <c r="BR49" s="2" t="str">
        <f>IF(BR$41="","",IF(ISBLANK(MINDS!BR$62),"",MINDS!BR$62))</f>
        <v/>
      </c>
      <c r="BS49" s="2" t="str">
        <f>IF(BS$41="","",IF(ISBLANK(MINDS!BS$62),"",MINDS!BS$62))</f>
        <v/>
      </c>
      <c r="BT49" s="2" t="str">
        <f>IF(BT$41="","",IF(ISBLANK(MINDS!BT$62),"",MINDS!BT$62))</f>
        <v/>
      </c>
      <c r="BU49" s="2" t="str">
        <f>IF(BU$41="","",IF(ISBLANK(MINDS!BU$62),"",MINDS!BU$62))</f>
        <v/>
      </c>
      <c r="BV49" s="2" t="str">
        <f>IF(BV$41="","",IF(ISBLANK(MINDS!BV$62),"",MINDS!BV$62))</f>
        <v/>
      </c>
      <c r="BW49" s="2" t="str">
        <f>IF(BW$41="","",IF(ISBLANK(MINDS!BW$62),"",MINDS!BW$62))</f>
        <v/>
      </c>
      <c r="BX49" s="2" t="str">
        <f>IF(BX$41="","",IF(ISBLANK(MINDS!BX$62),"",MINDS!BX$62))</f>
        <v/>
      </c>
      <c r="BY49" s="2" t="str">
        <f>IF(BY$41="","",IF(ISBLANK(MINDS!BY$62),"",MINDS!BY$62))</f>
        <v/>
      </c>
      <c r="BZ49" s="2" t="str">
        <f>IF(BZ$41="","",IF(ISBLANK(MINDS!BZ$62),"",MINDS!BZ$62))</f>
        <v/>
      </c>
      <c r="CA49" s="2" t="str">
        <f>IF(CA$41="","",IF(ISBLANK(MINDS!CA$62),"",MINDS!CA$62))</f>
        <v/>
      </c>
      <c r="CB49" s="2" t="str">
        <f>IF(CB$41="","",IF(ISBLANK(MINDS!CB$62),"",MINDS!CB$62))</f>
        <v/>
      </c>
      <c r="CC49" s="2" t="str">
        <f>IF(CC$41="","",IF(ISBLANK(MINDS!CC$62),"",MINDS!CC$62))</f>
        <v/>
      </c>
      <c r="CD49" s="2" t="str">
        <f>IF(CD$41="","",IF(ISBLANK(MINDS!CD$62),"",MINDS!CD$62))</f>
        <v/>
      </c>
      <c r="CE49" s="2" t="str">
        <f>IF(CE$41="","",IF(ISBLANK(MINDS!CE$62),"",MINDS!CE$62))</f>
        <v/>
      </c>
      <c r="CF49" s="2" t="str">
        <f>IF(CF$41="","",IF(ISBLANK(MINDS!CF$62),"",MINDS!CF$62))</f>
        <v/>
      </c>
      <c r="CG49" s="2" t="str">
        <f>IF(CG$41="","",IF(ISBLANK(MINDS!CG$62),"",MINDS!CG$62))</f>
        <v/>
      </c>
      <c r="CH49" s="2" t="str">
        <f>IF(CH$41="","",IF(ISBLANK(MINDS!CH$62),"",MINDS!CH$62))</f>
        <v/>
      </c>
      <c r="CI49" s="2" t="str">
        <f>IF(CI$41="","",IF(ISBLANK(MINDS!CI$62),"",MINDS!CI$62))</f>
        <v/>
      </c>
      <c r="CJ49" s="2" t="str">
        <f>IF(CJ$41="","",IF(ISBLANK(MINDS!CJ$62),"",MINDS!CJ$62))</f>
        <v/>
      </c>
      <c r="CK49" s="2" t="str">
        <f>IF(CK$41="","",IF(ISBLANK(MINDS!CK$62),"",MINDS!CK$62))</f>
        <v/>
      </c>
      <c r="CL49" s="2" t="str">
        <f>IF(CL$41="","",IF(ISBLANK(MINDS!CL$62),"",MINDS!CL$62))</f>
        <v/>
      </c>
      <c r="CM49" s="2" t="str">
        <f>IF(CM$41="","",IF(ISBLANK(MINDS!CM$62),"",MINDS!CM$62))</f>
        <v/>
      </c>
      <c r="CN49" s="2" t="str">
        <f>IF(CN$41="","",IF(ISBLANK(MINDS!CN$62),"",MINDS!CN$62))</f>
        <v/>
      </c>
      <c r="CO49" s="2" t="str">
        <f>IF(CO$41="","",IF(ISBLANK(MINDS!CO$62),"",MINDS!CO$62))</f>
        <v/>
      </c>
      <c r="CP49" s="2" t="str">
        <f>IF(CP$41="","",IF(ISBLANK(MINDS!CP$62),"",MINDS!CP$62))</f>
        <v/>
      </c>
      <c r="CQ49" s="2" t="str">
        <f>IF(CQ$41="","",IF(ISBLANK(MINDS!CQ$62),"",MINDS!CQ$62))</f>
        <v/>
      </c>
      <c r="CR49" s="2" t="str">
        <f>IF(CR$41="","",IF(ISBLANK(MINDS!CR$62),"",MINDS!CR$62))</f>
        <v/>
      </c>
      <c r="CS49" s="2" t="str">
        <f>IF(CS$41="","",IF(ISBLANK(MINDS!CS$62),"",MINDS!CS$62))</f>
        <v/>
      </c>
      <c r="CT49" s="2" t="str">
        <f>IF(CT$41="","",IF(ISBLANK(MINDS!CT$62),"",MINDS!CT$62))</f>
        <v/>
      </c>
      <c r="CU49" s="2" t="str">
        <f>IF(CU$41="","",IF(ISBLANK(MINDS!CU$62),"",MINDS!CU$62))</f>
        <v/>
      </c>
      <c r="CV49" s="2" t="str">
        <f>IF(CV$41="","",IF(ISBLANK(MINDS!CV$62),"",MINDS!CV$62))</f>
        <v/>
      </c>
      <c r="CW49" s="2" t="str">
        <f>IF(CW$41="","",IF(ISBLANK(MINDS!CW$62),"",MINDS!CW$62))</f>
        <v/>
      </c>
      <c r="CX49" s="2" t="str">
        <f>IF(CX$41="","",IF(ISBLANK(MINDS!CX$62),"",MINDS!CX$62))</f>
        <v/>
      </c>
      <c r="CY49" s="2" t="str">
        <f>IF(CY$41="","",IF(ISBLANK(MINDS!CY$62),"",MINDS!CY$62))</f>
        <v/>
      </c>
      <c r="CZ49" s="2" t="str">
        <f>IF(CZ$41="","",IF(ISBLANK(MINDS!CZ$62),"",MINDS!CZ$62))</f>
        <v/>
      </c>
      <c r="DA49" s="2" t="str">
        <f>IF(DA$41="","",IF(ISBLANK(MINDS!DA$62),"",MINDS!DA$62))</f>
        <v/>
      </c>
      <c r="DB49" s="2" t="str">
        <f>IF(DB$41="","",IF(ISBLANK(MINDS!DB$62),"",MINDS!DB$62))</f>
        <v/>
      </c>
      <c r="DC49" s="2" t="str">
        <f>IF(DC$41="","",IF(ISBLANK(MINDS!DC$62),"",MINDS!DC$62))</f>
        <v/>
      </c>
      <c r="DD49" s="2" t="str">
        <f>IF(DD$41="","",IF(ISBLANK(MINDS!DD$62),"",MINDS!DD$62))</f>
        <v/>
      </c>
      <c r="DE49" s="2" t="str">
        <f>IF(DE$41="","",IF(ISBLANK(MINDS!DE$62),"",MINDS!DE$62))</f>
        <v/>
      </c>
      <c r="DF49" s="2" t="str">
        <f>IF(DF$41="","",IF(ISBLANK(MINDS!DF$62),"",MINDS!DF$62))</f>
        <v/>
      </c>
      <c r="DG49" s="2" t="str">
        <f>IF(DG$41="","",IF(ISBLANK(MINDS!DG$62),"",MINDS!DG$62))</f>
        <v/>
      </c>
      <c r="DH49" s="2" t="str">
        <f>IF(DH$41="","",IF(ISBLANK(MINDS!DH$62),"",MINDS!DH$62))</f>
        <v/>
      </c>
      <c r="DI49" s="2" t="str">
        <f>IF(DI$41="","",IF(ISBLANK(MINDS!DI$62),"",MINDS!DI$62))</f>
        <v/>
      </c>
      <c r="DJ49" s="2" t="str">
        <f>IF(DJ$41="","",IF(ISBLANK(MINDS!DJ$62),"",MINDS!DJ$62))</f>
        <v/>
      </c>
      <c r="DK49" s="2" t="str">
        <f>IF(DK$41="","",IF(ISBLANK(MINDS!DK$62),"",MINDS!DK$62))</f>
        <v/>
      </c>
      <c r="DL49" s="2" t="str">
        <f>IF(DL$41="","",IF(ISBLANK(MINDS!DL$62),"",MINDS!DL$62))</f>
        <v/>
      </c>
      <c r="DM49" s="2" t="str">
        <f>IF(DM$41="","",IF(ISBLANK(MINDS!DM$62),"",MINDS!DM$62))</f>
        <v/>
      </c>
      <c r="DN49" s="2" t="str">
        <f>IF(DN$41="","",IF(ISBLANK(MINDS!DN$62),"",MINDS!DN$62))</f>
        <v/>
      </c>
      <c r="DO49" s="2" t="str">
        <f>IF(DO$41="","",IF(ISBLANK(MINDS!DO$62),"",MINDS!DO$62))</f>
        <v/>
      </c>
      <c r="DP49" s="2" t="str">
        <f>IF(DP$41="","",IF(ISBLANK(MINDS!DP$62),"",MINDS!DP$62))</f>
        <v/>
      </c>
      <c r="DQ49" s="2" t="str">
        <f>IF(DQ$41="","",IF(ISBLANK(MINDS!DQ$62),"",MINDS!DQ$62))</f>
        <v/>
      </c>
      <c r="DR49" s="2" t="str">
        <f>IF(DR$41="","",IF(ISBLANK(MINDS!DR$62),"",MINDS!DR$62))</f>
        <v/>
      </c>
      <c r="DS49" s="2" t="str">
        <f>IF(DS$41="","",IF(ISBLANK(MINDS!DS$62),"",MINDS!DS$62))</f>
        <v/>
      </c>
      <c r="DT49" s="2" t="str">
        <f>IF(DT$41="","",IF(ISBLANK(MINDS!DT$62),"",MINDS!DT$62))</f>
        <v/>
      </c>
      <c r="DU49" s="2" t="str">
        <f>IF(DU$41="","",IF(ISBLANK(MINDS!DU$62),"",MINDS!DU$62))</f>
        <v/>
      </c>
      <c r="DV49" s="2" t="str">
        <f>IF(DV$41="","",IF(ISBLANK(MINDS!DV$62),"",MINDS!DV$62))</f>
        <v/>
      </c>
      <c r="DW49" s="2" t="str">
        <f>IF(DW$41="","",IF(ISBLANK(MINDS!DW$62),"",MINDS!DW$62))</f>
        <v/>
      </c>
      <c r="DX49" s="2" t="str">
        <f>IF(DX$41="","",IF(ISBLANK(MINDS!DX$62),"",MINDS!DX$62))</f>
        <v/>
      </c>
      <c r="DY49" s="2" t="str">
        <f>IF(DY$41="","",IF(ISBLANK(MINDS!DY$62),"",MINDS!DY$62))</f>
        <v/>
      </c>
      <c r="DZ49" s="2" t="str">
        <f>IF(DZ$41="","",IF(ISBLANK(MINDS!DZ$62),"",MINDS!DZ$62))</f>
        <v/>
      </c>
      <c r="EA49" s="2" t="str">
        <f>IF(EA$41="","",IF(ISBLANK(MINDS!EA$62),"",MINDS!EA$62))</f>
        <v/>
      </c>
      <c r="EB49" s="2" t="str">
        <f>IF(EB$41="","",IF(ISBLANK(MINDS!EB$62),"",MINDS!EB$62))</f>
        <v/>
      </c>
      <c r="EC49" s="2" t="str">
        <f>IF(EC$41="","",IF(ISBLANK(MINDS!EC$62),"",MINDS!EC$62))</f>
        <v/>
      </c>
      <c r="ED49" s="2" t="str">
        <f>IF(ED$41="","",IF(ISBLANK(MINDS!ED$62),"",MINDS!ED$62))</f>
        <v/>
      </c>
      <c r="EE49" s="2" t="str">
        <f>IF(EE$41="","",IF(ISBLANK(MINDS!EE$62),"",MINDS!EE$62))</f>
        <v/>
      </c>
      <c r="EF49" s="2" t="str">
        <f>IF(EF$41="","",IF(ISBLANK(MINDS!EF$62),"",MINDS!EF$62))</f>
        <v/>
      </c>
      <c r="EG49" s="2" t="str">
        <f>IF(EG$41="","",IF(ISBLANK(MINDS!EG$62),"",MINDS!EG$62))</f>
        <v/>
      </c>
      <c r="EH49" s="2" t="str">
        <f>IF(EH$41="","",IF(ISBLANK(MINDS!EH$62),"",MINDS!EH$62))</f>
        <v/>
      </c>
      <c r="EI49" s="2" t="str">
        <f>IF(EI$41="","",IF(ISBLANK(MINDS!EI$62),"",MINDS!EI$62))</f>
        <v/>
      </c>
      <c r="EJ49" s="2" t="str">
        <f>IF(EJ$41="","",IF(ISBLANK(MINDS!EJ$62),"",MINDS!EJ$62))</f>
        <v/>
      </c>
      <c r="EK49" s="2" t="str">
        <f>IF(EK$41="","",IF(ISBLANK(MINDS!EK$62),"",MINDS!EK$62))</f>
        <v/>
      </c>
      <c r="EL49" s="2" t="str">
        <f>IF(EL$41="","",IF(ISBLANK(MINDS!EL$62),"",MINDS!EL$62))</f>
        <v/>
      </c>
      <c r="EM49" s="2" t="str">
        <f>IF(EM$41="","",IF(ISBLANK(MINDS!EM$62),"",MINDS!EM$62))</f>
        <v/>
      </c>
      <c r="EN49" s="2" t="str">
        <f>IF(EN$41="","",IF(ISBLANK(MINDS!EN$62),"",MINDS!EN$62))</f>
        <v/>
      </c>
      <c r="EO49" s="2" t="str">
        <f>IF(EO$41="","",IF(ISBLANK(MINDS!EO$62),"",MINDS!EO$62))</f>
        <v/>
      </c>
      <c r="EP49" s="2" t="str">
        <f>IF(EP$41="","",IF(ISBLANK(MINDS!EP$62),"",MINDS!EP$62))</f>
        <v/>
      </c>
      <c r="EQ49" s="2" t="str">
        <f>IF(EQ$41="","",IF(ISBLANK(MINDS!EQ$62),"",MINDS!EQ$62))</f>
        <v/>
      </c>
      <c r="ER49" s="2" t="str">
        <f>IF(ER$41="","",IF(ISBLANK(MINDS!ER$62),"",MINDS!ER$62))</f>
        <v/>
      </c>
      <c r="ES49" s="2" t="str">
        <f>IF(ES$41="","",IF(ISBLANK(MINDS!ES$62),"",MINDS!ES$62))</f>
        <v/>
      </c>
      <c r="ET49" s="2" t="str">
        <f>IF(ET$41="","",IF(ISBLANK(MINDS!ET$62),"",MINDS!ET$62))</f>
        <v/>
      </c>
      <c r="EU49" s="2" t="str">
        <f>IF(EU$41="","",IF(ISBLANK(MINDS!EU$62),"",MINDS!EU$62))</f>
        <v/>
      </c>
      <c r="EV49" s="2" t="str">
        <f>IF(EV$41="","",IF(ISBLANK(MINDS!EV$62),"",MINDS!EV$62))</f>
        <v/>
      </c>
      <c r="EW49" s="2" t="str">
        <f>IF(EW$41="","",IF(ISBLANK(MINDS!EW$62),"",MINDS!EW$62))</f>
        <v/>
      </c>
      <c r="EX49" s="2" t="str">
        <f>IF(EX$41="","",IF(ISBLANK(MINDS!EX$62),"",MINDS!EX$62))</f>
        <v/>
      </c>
      <c r="EY49" s="2" t="str">
        <f>IF(EY$41="","",IF(ISBLANK(MINDS!EY$62),"",MINDS!EY$62))</f>
        <v/>
      </c>
      <c r="EZ49" s="2" t="str">
        <f>IF(EZ$41="","",IF(ISBLANK(MINDS!EZ$62),"",MINDS!EZ$62))</f>
        <v/>
      </c>
      <c r="FA49" s="2" t="str">
        <f>IF(FA$41="","",IF(ISBLANK(MINDS!FA$62),"",MINDS!FA$62))</f>
        <v/>
      </c>
      <c r="FB49" s="2" t="str">
        <f>IF(FB$41="","",IF(ISBLANK(MINDS!FB$62),"",MINDS!FB$62))</f>
        <v/>
      </c>
      <c r="FC49" s="2" t="str">
        <f>IF(FC$41="","",IF(ISBLANK(MINDS!FC$62),"",MINDS!FC$62))</f>
        <v/>
      </c>
      <c r="FD49" s="2" t="str">
        <f>IF(FD$41="","",IF(ISBLANK(MINDS!FD$62),"",MINDS!FD$62))</f>
        <v/>
      </c>
      <c r="FE49" s="2" t="str">
        <f>IF(FE$41="","",IF(ISBLANK(MINDS!FE$62),"",MINDS!FE$62))</f>
        <v/>
      </c>
      <c r="FF49" s="2" t="str">
        <f>IF(FF$41="","",IF(ISBLANK(MINDS!FF$62),"",MINDS!FF$62))</f>
        <v/>
      </c>
      <c r="FG49" s="2" t="str">
        <f>IF(FG$41="","",IF(ISBLANK(MINDS!FG$62),"",MINDS!FG$62))</f>
        <v/>
      </c>
      <c r="FH49" s="2" t="str">
        <f>IF(FH$41="","",IF(ISBLANK(MINDS!FH$62),"",MINDS!FH$62))</f>
        <v/>
      </c>
      <c r="FI49" s="2" t="str">
        <f>IF(FI$41="","",IF(ISBLANK(MINDS!FI$62),"",MINDS!FI$62))</f>
        <v/>
      </c>
      <c r="FJ49" s="2" t="str">
        <f>IF(FJ$41="","",IF(ISBLANK(MINDS!FJ$62),"",MINDS!FJ$62))</f>
        <v/>
      </c>
      <c r="FK49" s="2" t="str">
        <f>IF(FK$41="","",IF(ISBLANK(MINDS!FK$62),"",MINDS!FK$62))</f>
        <v/>
      </c>
      <c r="FL49" s="2" t="str">
        <f>IF(FL$41="","",IF(ISBLANK(MINDS!FL$62),"",MINDS!FL$62))</f>
        <v/>
      </c>
      <c r="FM49" s="2" t="str">
        <f>IF(FM$41="","",IF(ISBLANK(MINDS!FM$62),"",MINDS!FM$62))</f>
        <v/>
      </c>
      <c r="FN49" s="2" t="str">
        <f>IF(FN$41="","",IF(ISBLANK(MINDS!FN$62),"",MINDS!FN$62))</f>
        <v/>
      </c>
      <c r="FO49" s="2" t="str">
        <f>IF(FO$41="","",IF(ISBLANK(MINDS!FO$62),"",MINDS!FO$62))</f>
        <v/>
      </c>
      <c r="FP49" s="2" t="str">
        <f>IF(FP$41="","",IF(ISBLANK(MINDS!FP$62),"",MINDS!FP$62))</f>
        <v/>
      </c>
      <c r="FQ49" s="2" t="str">
        <f>IF(FQ$41="","",IF(ISBLANK(MINDS!FQ$62),"",MINDS!FQ$62))</f>
        <v/>
      </c>
      <c r="FR49" s="2" t="str">
        <f>IF(FR$41="","",IF(ISBLANK(MINDS!FR$62),"",MINDS!FR$62))</f>
        <v/>
      </c>
      <c r="FS49" s="2" t="str">
        <f>IF(FS$41="","",IF(ISBLANK(MINDS!FS$62),"",MINDS!FS$62))</f>
        <v/>
      </c>
      <c r="FT49" s="2" t="str">
        <f>IF(FT$41="","",IF(ISBLANK(MINDS!FT$62),"",MINDS!FT$62))</f>
        <v/>
      </c>
      <c r="FU49" s="2" t="str">
        <f>IF(FU$41="","",IF(ISBLANK(MINDS!FU$62),"",MINDS!FU$62))</f>
        <v/>
      </c>
      <c r="FV49" s="2" t="str">
        <f>IF(FV$41="","",IF(ISBLANK(MINDS!FV$62),"",MINDS!FV$62))</f>
        <v/>
      </c>
      <c r="FW49" s="2" t="str">
        <f>IF(FW$41="","",IF(ISBLANK(MINDS!FW$62),"",MINDS!FW$62))</f>
        <v/>
      </c>
      <c r="FX49" s="2" t="str">
        <f>IF(FX$41="","",IF(ISBLANK(MINDS!FX$62),"",MINDS!FX$62))</f>
        <v/>
      </c>
      <c r="FY49" s="2" t="str">
        <f>IF(FY$41="","",IF(ISBLANK(MINDS!FY$62),"",MINDS!FY$62))</f>
        <v/>
      </c>
      <c r="FZ49" s="2" t="str">
        <f>IF(FZ$41="","",IF(ISBLANK(MINDS!FZ$62),"",MINDS!FZ$62))</f>
        <v/>
      </c>
      <c r="GA49" s="2" t="str">
        <f>IF(GA$41="","",IF(ISBLANK(MINDS!GA$62),"",MINDS!GA$62))</f>
        <v/>
      </c>
      <c r="GB49" s="2" t="str">
        <f>IF(GB$41="","",IF(ISBLANK(MINDS!GB$62),"",MINDS!GB$62))</f>
        <v/>
      </c>
      <c r="GC49" s="2" t="str">
        <f>IF(GC$41="","",IF(ISBLANK(MINDS!GC$62),"",MINDS!GC$62))</f>
        <v/>
      </c>
      <c r="GD49" s="2" t="str">
        <f>IF(GD$41="","",IF(ISBLANK(MINDS!GD$62),"",MINDS!GD$62))</f>
        <v/>
      </c>
      <c r="GE49" s="2" t="str">
        <f>IF(GE$41="","",IF(ISBLANK(MINDS!GE$62),"",MINDS!GE$62))</f>
        <v/>
      </c>
      <c r="GF49" s="2" t="str">
        <f>IF(GF$41="","",IF(ISBLANK(MINDS!GF$62),"",MINDS!GF$62))</f>
        <v/>
      </c>
      <c r="GG49" s="2" t="str">
        <f>IF(GG$41="","",IF(ISBLANK(MINDS!GG$62),"",MINDS!GG$62))</f>
        <v/>
      </c>
      <c r="GH49" s="2" t="str">
        <f>IF(GH$41="","",IF(ISBLANK(MINDS!GH$62),"",MINDS!GH$62))</f>
        <v/>
      </c>
      <c r="GI49" s="2" t="str">
        <f>IF(GI$41="","",IF(ISBLANK(MINDS!GI$62),"",MINDS!GI$62))</f>
        <v/>
      </c>
      <c r="GJ49" s="2" t="str">
        <f>IF(GJ$41="","",IF(ISBLANK(MINDS!GJ$62),"",MINDS!GJ$62))</f>
        <v/>
      </c>
      <c r="GK49" s="2" t="str">
        <f>IF(GK$41="","",IF(ISBLANK(MINDS!GK$62),"",MINDS!GK$62))</f>
        <v/>
      </c>
      <c r="GL49" s="2" t="str">
        <f>IF(GL$41="","",IF(ISBLANK(MINDS!GL$62),"",MINDS!GL$62))</f>
        <v/>
      </c>
      <c r="GM49" s="2" t="str">
        <f>IF(GM$41="","",IF(ISBLANK(MINDS!GM$62),"",MINDS!GM$62))</f>
        <v/>
      </c>
      <c r="GN49" s="2" t="str">
        <f>IF(GN$41="","",IF(ISBLANK(MINDS!GN$62),"",MINDS!GN$62))</f>
        <v/>
      </c>
      <c r="GO49" s="2" t="str">
        <f>IF(GO$41="","",IF(ISBLANK(MINDS!GO$62),"",MINDS!GO$62))</f>
        <v/>
      </c>
      <c r="GP49" s="2" t="str">
        <f>IF(GP$41="","",IF(ISBLANK(MINDS!GP$62),"",MINDS!GP$62))</f>
        <v/>
      </c>
      <c r="GQ49" s="2" t="str">
        <f>IF(GQ$41="","",IF(ISBLANK(MINDS!GQ$62),"",MINDS!GQ$62))</f>
        <v/>
      </c>
      <c r="GR49" s="2" t="str">
        <f>IF(GR$41="","",IF(ISBLANK(MINDS!GR$62),"",MINDS!GR$62))</f>
        <v/>
      </c>
      <c r="GS49" s="2" t="str">
        <f>IF(GS$41="","",IF(ISBLANK(MINDS!GS$62),"",MINDS!GS$62))</f>
        <v/>
      </c>
      <c r="GT49" s="2" t="str">
        <f>IF(GT$41="","",IF(ISBLANK(MINDS!GT$62),"",MINDS!GT$62))</f>
        <v/>
      </c>
      <c r="GU49" s="2" t="str">
        <f>IF(GU$41="","",IF(ISBLANK(MINDS!GU$62),"",MINDS!GU$62))</f>
        <v/>
      </c>
      <c r="GV49" s="2" t="str">
        <f>IF(GV$41="","",IF(ISBLANK(MINDS!GV$62),"",MINDS!GV$62))</f>
        <v/>
      </c>
      <c r="GW49" s="2" t="str">
        <f>IF(GW$41="","",IF(ISBLANK(MINDS!GW$62),"",MINDS!GW$62))</f>
        <v/>
      </c>
      <c r="GX49" s="2" t="str">
        <f>IF(GX$41="","",IF(ISBLANK(MINDS!GX$62),"",MINDS!GX$62))</f>
        <v/>
      </c>
      <c r="GY49" s="2" t="str">
        <f>IF(GY$41="","",IF(ISBLANK(MINDS!GY$62),"",MINDS!GY$62))</f>
        <v/>
      </c>
      <c r="GZ49" s="2" t="str">
        <f>IF(GZ$41="","",IF(ISBLANK(MINDS!GZ$62),"",MINDS!GZ$62))</f>
        <v/>
      </c>
      <c r="HA49" s="2" t="str">
        <f>IF(HA$41="","",IF(ISBLANK(MINDS!HA$62),"",MINDS!HA$62))</f>
        <v/>
      </c>
      <c r="HB49" s="2" t="str">
        <f>IF(HB$41="","",IF(ISBLANK(MINDS!HB$62),"",MINDS!HB$62))</f>
        <v/>
      </c>
      <c r="HC49" s="2" t="str">
        <f>IF(HC$41="","",IF(ISBLANK(MINDS!HC$62),"",MINDS!HC$62))</f>
        <v/>
      </c>
      <c r="HD49" s="2" t="str">
        <f>IF(HD$41="","",IF(ISBLANK(MINDS!HD$62),"",MINDS!HD$62))</f>
        <v/>
      </c>
      <c r="HE49" s="2" t="str">
        <f>IF(HE$41="","",IF(ISBLANK(MINDS!HE$62),"",MINDS!HE$62))</f>
        <v/>
      </c>
      <c r="HF49" s="2" t="str">
        <f>IF(HF$41="","",IF(ISBLANK(MINDS!HF$62),"",MINDS!HF$62))</f>
        <v/>
      </c>
      <c r="HG49" s="2" t="str">
        <f>IF(HG$41="","",IF(ISBLANK(MINDS!HG$62),"",MINDS!HG$62))</f>
        <v/>
      </c>
      <c r="HH49" s="2" t="str">
        <f>IF(HH$41="","",IF(ISBLANK(MINDS!HH$62),"",MINDS!HH$62))</f>
        <v/>
      </c>
      <c r="HI49" s="2" t="str">
        <f>IF(HI$41="","",IF(ISBLANK(MINDS!HI$62),"",MINDS!HI$62))</f>
        <v/>
      </c>
      <c r="HJ49" s="2" t="str">
        <f>IF(HJ$41="","",IF(ISBLANK(MINDS!HJ$62),"",MINDS!HJ$62))</f>
        <v/>
      </c>
      <c r="HK49" s="2" t="str">
        <f>IF(HK$41="","",IF(ISBLANK(MINDS!HK$62),"",MINDS!HK$62))</f>
        <v/>
      </c>
      <c r="HL49" s="2" t="str">
        <f>IF(HL$41="","",IF(ISBLANK(MINDS!HL$62),"",MINDS!HL$62))</f>
        <v/>
      </c>
      <c r="HM49" s="2" t="str">
        <f>IF(HM$41="","",IF(ISBLANK(MINDS!HM$62),"",MINDS!HM$62))</f>
        <v/>
      </c>
      <c r="HN49" s="2" t="str">
        <f>IF(HN$41="","",IF(ISBLANK(MINDS!HN$62),"",MINDS!HN$62))</f>
        <v/>
      </c>
      <c r="HO49" s="2" t="str">
        <f>IF(HO$41="","",IF(ISBLANK(MINDS!HO$62),"",MINDS!HO$62))</f>
        <v/>
      </c>
      <c r="HP49" s="2" t="str">
        <f>IF(HP$41="","",IF(ISBLANK(MINDS!HP$62),"",MINDS!HP$62))</f>
        <v/>
      </c>
      <c r="HQ49" s="2" t="str">
        <f>IF(HQ$41="","",IF(ISBLANK(MINDS!HQ$62),"",MINDS!HQ$62))</f>
        <v/>
      </c>
      <c r="HR49" s="2" t="str">
        <f>IF(HR$41="","",IF(ISBLANK(MINDS!HR$62),"",MINDS!HR$62))</f>
        <v/>
      </c>
      <c r="HS49" s="2" t="str">
        <f>IF(HS$41="","",IF(ISBLANK(MINDS!HS$62),"",MINDS!HS$62))</f>
        <v/>
      </c>
      <c r="HT49" s="2" t="str">
        <f>IF(HT$41="","",IF(ISBLANK(MINDS!HT$62),"",MINDS!HT$62))</f>
        <v/>
      </c>
      <c r="HU49" s="2" t="str">
        <f>IF(HU$41="","",IF(ISBLANK(MINDS!HU$62),"",MINDS!HU$62))</f>
        <v/>
      </c>
      <c r="HV49" s="2" t="str">
        <f>IF(HV$41="","",IF(ISBLANK(MINDS!HV$62),"",MINDS!HV$62))</f>
        <v/>
      </c>
      <c r="HW49" s="2" t="str">
        <f>IF(HW$41="","",IF(ISBLANK(MINDS!HW$62),"",MINDS!HW$62))</f>
        <v/>
      </c>
      <c r="HX49" s="2" t="str">
        <f>IF(HX$41="","",IF(ISBLANK(MINDS!HX$62),"",MINDS!HX$62))</f>
        <v/>
      </c>
      <c r="HY49" s="2" t="str">
        <f>IF(HY$41="","",IF(ISBLANK(MINDS!HY$62),"",MINDS!HY$62))</f>
        <v/>
      </c>
      <c r="HZ49" s="2" t="str">
        <f>IF(HZ$41="","",IF(ISBLANK(MINDS!HZ$62),"",MINDS!HZ$62))</f>
        <v/>
      </c>
      <c r="IA49" s="2" t="str">
        <f>IF(IA$41="","",IF(ISBLANK(MINDS!IA$62),"",MINDS!IA$62))</f>
        <v/>
      </c>
      <c r="IB49" s="2" t="str">
        <f>IF(IB$41="","",IF(ISBLANK(MINDS!IB$62),"",MINDS!IB$62))</f>
        <v/>
      </c>
      <c r="IC49" s="2" t="str">
        <f>IF(IC$41="","",IF(ISBLANK(MINDS!IC$62),"",MINDS!IC$62))</f>
        <v/>
      </c>
      <c r="ID49" s="2" t="str">
        <f>IF(ID$41="","",IF(ISBLANK(MINDS!ID$62),"",MINDS!ID$62))</f>
        <v/>
      </c>
      <c r="IE49" s="2" t="str">
        <f>IF(IE$41="","",IF(ISBLANK(MINDS!IE$62),"",MINDS!IE$62))</f>
        <v/>
      </c>
      <c r="IF49" s="2" t="str">
        <f>IF(IF$41="","",IF(ISBLANK(MINDS!IF$62),"",MINDS!IF$62))</f>
        <v/>
      </c>
      <c r="IG49" s="2" t="str">
        <f>IF(IG$41="","",IF(ISBLANK(MINDS!IG$62),"",MINDS!IG$62))</f>
        <v/>
      </c>
      <c r="IH49" s="2" t="str">
        <f>IF(IH$41="","",IF(ISBLANK(MINDS!IH$62),"",MINDS!IH$62))</f>
        <v/>
      </c>
      <c r="II49" s="2" t="str">
        <f>IF(II$41="","",IF(ISBLANK(MINDS!II$62),"",MINDS!II$62))</f>
        <v/>
      </c>
      <c r="IJ49" s="2" t="str">
        <f>IF(IJ$41="","",IF(ISBLANK(MINDS!IJ$62),"",MINDS!IJ$62))</f>
        <v/>
      </c>
      <c r="IK49" s="2" t="str">
        <f>IF(IK$41="","",IF(ISBLANK(MINDS!IK$62),"",MINDS!IK$62))</f>
        <v/>
      </c>
      <c r="IL49" s="2" t="str">
        <f>IF(IL$41="","",IF(ISBLANK(MINDS!IL$62),"",MINDS!IL$62))</f>
        <v/>
      </c>
      <c r="IM49" s="2" t="str">
        <f>IF(IM$41="","",IF(ISBLANK(MINDS!IM$62),"",MINDS!IM$62))</f>
        <v/>
      </c>
      <c r="IN49" s="2" t="str">
        <f>IF(IN$41="","",IF(ISBLANK(MINDS!IN$62),"",MINDS!IN$62))</f>
        <v/>
      </c>
      <c r="IO49" s="2" t="str">
        <f>IF(IO$41="","",IF(ISBLANK(MINDS!IO$62),"",MINDS!IO$62))</f>
        <v/>
      </c>
      <c r="IP49" s="2" t="str">
        <f>IF(IP$41="","",IF(ISBLANK(MINDS!IP$62),"",MINDS!IP$62))</f>
        <v/>
      </c>
      <c r="IQ49" s="2" t="str">
        <f>IF(IQ$41="","",IF(ISBLANK(MINDS!IQ$62),"",MINDS!IQ$62))</f>
        <v/>
      </c>
      <c r="IR49" s="2" t="str">
        <f>IF(IR$41="","",IF(ISBLANK(MINDS!IR$62),"",MINDS!IR$62))</f>
        <v/>
      </c>
      <c r="IS49" s="2" t="str">
        <f>IF(IS$41="","",IF(ISBLANK(MINDS!IS$62),"",MINDS!IS$62))</f>
        <v/>
      </c>
      <c r="IT49" s="2" t="str">
        <f>IF(IT$41="","",IF(ISBLANK(MINDS!IT$62),"",MINDS!IT$62))</f>
        <v/>
      </c>
      <c r="IU49" s="2" t="str">
        <f>IF(IU$41="","",IF(ISBLANK(MINDS!IU$62),"",MINDS!IU$62))</f>
        <v/>
      </c>
      <c r="IV49" s="2" t="str">
        <f>IF(IV$41="","",IF(ISBLANK(MINDS!IV$62),"",MINDS!IV$62))</f>
        <v/>
      </c>
    </row>
    <row r="50" spans="1:256" x14ac:dyDescent="0.2">
      <c r="A50" s="3" t="s">
        <v>15</v>
      </c>
      <c r="C50" s="2" t="str">
        <f>IF(C$41="","","")</f>
        <v/>
      </c>
      <c r="D50" s="2" t="str">
        <f t="shared" ref="D50:BO50" si="4">IF(D$41="","","")</f>
        <v/>
      </c>
      <c r="E50" s="2" t="str">
        <f t="shared" si="4"/>
        <v/>
      </c>
      <c r="F50" s="2" t="str">
        <f t="shared" si="4"/>
        <v/>
      </c>
      <c r="G50" s="2" t="str">
        <f t="shared" si="4"/>
        <v/>
      </c>
      <c r="H50" s="2" t="str">
        <f t="shared" si="4"/>
        <v/>
      </c>
      <c r="I50" s="2" t="str">
        <f t="shared" si="4"/>
        <v/>
      </c>
      <c r="J50" s="2" t="str">
        <f t="shared" si="4"/>
        <v/>
      </c>
      <c r="K50" s="2" t="str">
        <f t="shared" si="4"/>
        <v/>
      </c>
      <c r="L50" s="2" t="str">
        <f t="shared" si="4"/>
        <v/>
      </c>
      <c r="M50" s="2" t="str">
        <f t="shared" si="4"/>
        <v/>
      </c>
      <c r="N50" s="2" t="str">
        <f t="shared" si="4"/>
        <v/>
      </c>
      <c r="O50" s="2" t="str">
        <f t="shared" si="4"/>
        <v/>
      </c>
      <c r="P50" s="2" t="str">
        <f t="shared" si="4"/>
        <v/>
      </c>
      <c r="Q50" s="2" t="str">
        <f t="shared" si="4"/>
        <v/>
      </c>
      <c r="R50" s="2" t="str">
        <f t="shared" si="4"/>
        <v/>
      </c>
      <c r="S50" s="2" t="str">
        <f t="shared" si="4"/>
        <v/>
      </c>
      <c r="T50" s="2" t="str">
        <f t="shared" si="4"/>
        <v/>
      </c>
      <c r="U50" s="2" t="str">
        <f t="shared" si="4"/>
        <v/>
      </c>
      <c r="V50" s="2" t="str">
        <f t="shared" si="4"/>
        <v/>
      </c>
      <c r="W50" s="2" t="str">
        <f t="shared" si="4"/>
        <v/>
      </c>
      <c r="X50" s="2" t="str">
        <f t="shared" si="4"/>
        <v/>
      </c>
      <c r="Y50" s="2" t="str">
        <f t="shared" si="4"/>
        <v/>
      </c>
      <c r="Z50" s="2" t="str">
        <f t="shared" si="4"/>
        <v/>
      </c>
      <c r="AA50" s="2" t="str">
        <f t="shared" si="4"/>
        <v/>
      </c>
      <c r="AB50" s="2" t="str">
        <f t="shared" si="4"/>
        <v/>
      </c>
      <c r="AC50" s="2" t="str">
        <f t="shared" si="4"/>
        <v/>
      </c>
      <c r="AD50" s="2" t="str">
        <f t="shared" si="4"/>
        <v/>
      </c>
      <c r="AE50" s="2" t="str">
        <f t="shared" si="4"/>
        <v/>
      </c>
      <c r="AF50" s="2" t="str">
        <f t="shared" si="4"/>
        <v/>
      </c>
      <c r="AG50" s="2" t="str">
        <f t="shared" si="4"/>
        <v/>
      </c>
      <c r="AH50" s="2" t="str">
        <f t="shared" si="4"/>
        <v/>
      </c>
      <c r="AI50" s="2" t="str">
        <f t="shared" si="4"/>
        <v/>
      </c>
      <c r="AJ50" s="2" t="str">
        <f t="shared" si="4"/>
        <v/>
      </c>
      <c r="AK50" s="2" t="str">
        <f t="shared" si="4"/>
        <v/>
      </c>
      <c r="AL50" s="2" t="str">
        <f t="shared" si="4"/>
        <v/>
      </c>
      <c r="AM50" s="2" t="str">
        <f t="shared" si="4"/>
        <v/>
      </c>
      <c r="AN50" s="2" t="str">
        <f t="shared" si="4"/>
        <v/>
      </c>
      <c r="AO50" s="2" t="str">
        <f t="shared" si="4"/>
        <v/>
      </c>
      <c r="AP50" s="2" t="str">
        <f t="shared" si="4"/>
        <v/>
      </c>
      <c r="AQ50" s="2" t="str">
        <f t="shared" si="4"/>
        <v/>
      </c>
      <c r="AR50" s="2" t="str">
        <f t="shared" si="4"/>
        <v/>
      </c>
      <c r="AS50" s="2" t="str">
        <f t="shared" si="4"/>
        <v/>
      </c>
      <c r="AT50" s="2" t="str">
        <f t="shared" si="4"/>
        <v/>
      </c>
      <c r="AU50" s="2" t="str">
        <f t="shared" si="4"/>
        <v/>
      </c>
      <c r="AV50" s="2" t="str">
        <f t="shared" si="4"/>
        <v/>
      </c>
      <c r="AW50" s="2" t="str">
        <f t="shared" si="4"/>
        <v/>
      </c>
      <c r="AX50" s="2" t="str">
        <f t="shared" si="4"/>
        <v/>
      </c>
      <c r="AY50" s="2" t="str">
        <f t="shared" si="4"/>
        <v/>
      </c>
      <c r="AZ50" s="2" t="str">
        <f t="shared" si="4"/>
        <v/>
      </c>
      <c r="BA50" s="2" t="str">
        <f t="shared" si="4"/>
        <v/>
      </c>
      <c r="BB50" s="2" t="str">
        <f t="shared" si="4"/>
        <v/>
      </c>
      <c r="BC50" s="2" t="str">
        <f t="shared" si="4"/>
        <v/>
      </c>
      <c r="BD50" s="2" t="str">
        <f t="shared" si="4"/>
        <v/>
      </c>
      <c r="BE50" s="2" t="str">
        <f t="shared" si="4"/>
        <v/>
      </c>
      <c r="BF50" s="2" t="str">
        <f t="shared" si="4"/>
        <v/>
      </c>
      <c r="BG50" s="2" t="str">
        <f t="shared" si="4"/>
        <v/>
      </c>
      <c r="BH50" s="2" t="str">
        <f t="shared" si="4"/>
        <v/>
      </c>
      <c r="BI50" s="2" t="str">
        <f t="shared" si="4"/>
        <v/>
      </c>
      <c r="BJ50" s="2" t="str">
        <f t="shared" si="4"/>
        <v/>
      </c>
      <c r="BK50" s="2" t="str">
        <f t="shared" si="4"/>
        <v/>
      </c>
      <c r="BL50" s="2" t="str">
        <f t="shared" si="4"/>
        <v/>
      </c>
      <c r="BM50" s="2" t="str">
        <f t="shared" si="4"/>
        <v/>
      </c>
      <c r="BN50" s="2" t="str">
        <f t="shared" si="4"/>
        <v/>
      </c>
      <c r="BO50" s="2" t="str">
        <f t="shared" si="4"/>
        <v/>
      </c>
      <c r="BP50" s="2" t="str">
        <f t="shared" ref="BP50:EA50" si="5">IF(BP$41="","","")</f>
        <v/>
      </c>
      <c r="BQ50" s="2" t="str">
        <f t="shared" si="5"/>
        <v/>
      </c>
      <c r="BR50" s="2" t="str">
        <f t="shared" si="5"/>
        <v/>
      </c>
      <c r="BS50" s="2" t="str">
        <f t="shared" si="5"/>
        <v/>
      </c>
      <c r="BT50" s="2" t="str">
        <f t="shared" si="5"/>
        <v/>
      </c>
      <c r="BU50" s="2" t="str">
        <f t="shared" si="5"/>
        <v/>
      </c>
      <c r="BV50" s="2" t="str">
        <f t="shared" si="5"/>
        <v/>
      </c>
      <c r="BW50" s="2" t="str">
        <f t="shared" si="5"/>
        <v/>
      </c>
      <c r="BX50" s="2" t="str">
        <f t="shared" si="5"/>
        <v/>
      </c>
      <c r="BY50" s="2" t="str">
        <f t="shared" si="5"/>
        <v/>
      </c>
      <c r="BZ50" s="2" t="str">
        <f t="shared" si="5"/>
        <v/>
      </c>
      <c r="CA50" s="2" t="str">
        <f t="shared" si="5"/>
        <v/>
      </c>
      <c r="CB50" s="2" t="str">
        <f t="shared" si="5"/>
        <v/>
      </c>
      <c r="CC50" s="2" t="str">
        <f t="shared" si="5"/>
        <v/>
      </c>
      <c r="CD50" s="2" t="str">
        <f t="shared" si="5"/>
        <v/>
      </c>
      <c r="CE50" s="2" t="str">
        <f t="shared" si="5"/>
        <v/>
      </c>
      <c r="CF50" s="2" t="str">
        <f t="shared" si="5"/>
        <v/>
      </c>
      <c r="CG50" s="2" t="str">
        <f t="shared" si="5"/>
        <v/>
      </c>
      <c r="CH50" s="2" t="str">
        <f t="shared" si="5"/>
        <v/>
      </c>
      <c r="CI50" s="2" t="str">
        <f t="shared" si="5"/>
        <v/>
      </c>
      <c r="CJ50" s="2" t="str">
        <f t="shared" si="5"/>
        <v/>
      </c>
      <c r="CK50" s="2" t="str">
        <f t="shared" si="5"/>
        <v/>
      </c>
      <c r="CL50" s="2" t="str">
        <f t="shared" si="5"/>
        <v/>
      </c>
      <c r="CM50" s="2" t="str">
        <f t="shared" si="5"/>
        <v/>
      </c>
      <c r="CN50" s="2" t="str">
        <f t="shared" si="5"/>
        <v/>
      </c>
      <c r="CO50" s="2" t="str">
        <f t="shared" si="5"/>
        <v/>
      </c>
      <c r="CP50" s="2" t="str">
        <f t="shared" si="5"/>
        <v/>
      </c>
      <c r="CQ50" s="2" t="str">
        <f t="shared" si="5"/>
        <v/>
      </c>
      <c r="CR50" s="2" t="str">
        <f t="shared" si="5"/>
        <v/>
      </c>
      <c r="CS50" s="2" t="str">
        <f t="shared" si="5"/>
        <v/>
      </c>
      <c r="CT50" s="2" t="str">
        <f t="shared" si="5"/>
        <v/>
      </c>
      <c r="CU50" s="2" t="str">
        <f t="shared" si="5"/>
        <v/>
      </c>
      <c r="CV50" s="2" t="str">
        <f t="shared" si="5"/>
        <v/>
      </c>
      <c r="CW50" s="2" t="str">
        <f t="shared" si="5"/>
        <v/>
      </c>
      <c r="CX50" s="2" t="str">
        <f t="shared" si="5"/>
        <v/>
      </c>
      <c r="CY50" s="2" t="str">
        <f t="shared" si="5"/>
        <v/>
      </c>
      <c r="CZ50" s="2" t="str">
        <f t="shared" si="5"/>
        <v/>
      </c>
      <c r="DA50" s="2" t="str">
        <f t="shared" si="5"/>
        <v/>
      </c>
      <c r="DB50" s="2" t="str">
        <f t="shared" si="5"/>
        <v/>
      </c>
      <c r="DC50" s="2" t="str">
        <f t="shared" si="5"/>
        <v/>
      </c>
      <c r="DD50" s="2" t="str">
        <f t="shared" si="5"/>
        <v/>
      </c>
      <c r="DE50" s="2" t="str">
        <f t="shared" si="5"/>
        <v/>
      </c>
      <c r="DF50" s="2" t="str">
        <f t="shared" si="5"/>
        <v/>
      </c>
      <c r="DG50" s="2" t="str">
        <f t="shared" si="5"/>
        <v/>
      </c>
      <c r="DH50" s="2" t="str">
        <f t="shared" si="5"/>
        <v/>
      </c>
      <c r="DI50" s="2" t="str">
        <f t="shared" si="5"/>
        <v/>
      </c>
      <c r="DJ50" s="2" t="str">
        <f t="shared" si="5"/>
        <v/>
      </c>
      <c r="DK50" s="2" t="str">
        <f t="shared" si="5"/>
        <v/>
      </c>
      <c r="DL50" s="2" t="str">
        <f t="shared" si="5"/>
        <v/>
      </c>
      <c r="DM50" s="2" t="str">
        <f t="shared" si="5"/>
        <v/>
      </c>
      <c r="DN50" s="2" t="str">
        <f t="shared" si="5"/>
        <v/>
      </c>
      <c r="DO50" s="2" t="str">
        <f t="shared" si="5"/>
        <v/>
      </c>
      <c r="DP50" s="2" t="str">
        <f t="shared" si="5"/>
        <v/>
      </c>
      <c r="DQ50" s="2" t="str">
        <f t="shared" si="5"/>
        <v/>
      </c>
      <c r="DR50" s="2" t="str">
        <f t="shared" si="5"/>
        <v/>
      </c>
      <c r="DS50" s="2" t="str">
        <f t="shared" si="5"/>
        <v/>
      </c>
      <c r="DT50" s="2" t="str">
        <f t="shared" si="5"/>
        <v/>
      </c>
      <c r="DU50" s="2" t="str">
        <f t="shared" si="5"/>
        <v/>
      </c>
      <c r="DV50" s="2" t="str">
        <f t="shared" si="5"/>
        <v/>
      </c>
      <c r="DW50" s="2" t="str">
        <f t="shared" si="5"/>
        <v/>
      </c>
      <c r="DX50" s="2" t="str">
        <f t="shared" si="5"/>
        <v/>
      </c>
      <c r="DY50" s="2" t="str">
        <f t="shared" si="5"/>
        <v/>
      </c>
      <c r="DZ50" s="2" t="str">
        <f t="shared" si="5"/>
        <v/>
      </c>
      <c r="EA50" s="2" t="str">
        <f t="shared" si="5"/>
        <v/>
      </c>
      <c r="EB50" s="2" t="str">
        <f t="shared" ref="EB50:GM50" si="6">IF(EB$41="","","")</f>
        <v/>
      </c>
      <c r="EC50" s="2" t="str">
        <f t="shared" si="6"/>
        <v/>
      </c>
      <c r="ED50" s="2" t="str">
        <f t="shared" si="6"/>
        <v/>
      </c>
      <c r="EE50" s="2" t="str">
        <f t="shared" si="6"/>
        <v/>
      </c>
      <c r="EF50" s="2" t="str">
        <f t="shared" si="6"/>
        <v/>
      </c>
      <c r="EG50" s="2" t="str">
        <f t="shared" si="6"/>
        <v/>
      </c>
      <c r="EH50" s="2" t="str">
        <f t="shared" si="6"/>
        <v/>
      </c>
      <c r="EI50" s="2" t="str">
        <f t="shared" si="6"/>
        <v/>
      </c>
      <c r="EJ50" s="2" t="str">
        <f t="shared" si="6"/>
        <v/>
      </c>
      <c r="EK50" s="2" t="str">
        <f t="shared" si="6"/>
        <v/>
      </c>
      <c r="EL50" s="2" t="str">
        <f t="shared" si="6"/>
        <v/>
      </c>
      <c r="EM50" s="2" t="str">
        <f t="shared" si="6"/>
        <v/>
      </c>
      <c r="EN50" s="2" t="str">
        <f t="shared" si="6"/>
        <v/>
      </c>
      <c r="EO50" s="2" t="str">
        <f t="shared" si="6"/>
        <v/>
      </c>
      <c r="EP50" s="2" t="str">
        <f t="shared" si="6"/>
        <v/>
      </c>
      <c r="EQ50" s="2" t="str">
        <f t="shared" si="6"/>
        <v/>
      </c>
      <c r="ER50" s="2" t="str">
        <f t="shared" si="6"/>
        <v/>
      </c>
      <c r="ES50" s="2" t="str">
        <f t="shared" si="6"/>
        <v/>
      </c>
      <c r="ET50" s="2" t="str">
        <f t="shared" si="6"/>
        <v/>
      </c>
      <c r="EU50" s="2" t="str">
        <f t="shared" si="6"/>
        <v/>
      </c>
      <c r="EV50" s="2" t="str">
        <f t="shared" si="6"/>
        <v/>
      </c>
      <c r="EW50" s="2" t="str">
        <f t="shared" si="6"/>
        <v/>
      </c>
      <c r="EX50" s="2" t="str">
        <f t="shared" si="6"/>
        <v/>
      </c>
      <c r="EY50" s="2" t="str">
        <f t="shared" si="6"/>
        <v/>
      </c>
      <c r="EZ50" s="2" t="str">
        <f t="shared" si="6"/>
        <v/>
      </c>
      <c r="FA50" s="2" t="str">
        <f t="shared" si="6"/>
        <v/>
      </c>
      <c r="FB50" s="2" t="str">
        <f t="shared" si="6"/>
        <v/>
      </c>
      <c r="FC50" s="2" t="str">
        <f t="shared" si="6"/>
        <v/>
      </c>
      <c r="FD50" s="2" t="str">
        <f t="shared" si="6"/>
        <v/>
      </c>
      <c r="FE50" s="2" t="str">
        <f t="shared" si="6"/>
        <v/>
      </c>
      <c r="FF50" s="2" t="str">
        <f t="shared" si="6"/>
        <v/>
      </c>
      <c r="FG50" s="2" t="str">
        <f t="shared" si="6"/>
        <v/>
      </c>
      <c r="FH50" s="2" t="str">
        <f t="shared" si="6"/>
        <v/>
      </c>
      <c r="FI50" s="2" t="str">
        <f t="shared" si="6"/>
        <v/>
      </c>
      <c r="FJ50" s="2" t="str">
        <f t="shared" si="6"/>
        <v/>
      </c>
      <c r="FK50" s="2" t="str">
        <f t="shared" si="6"/>
        <v/>
      </c>
      <c r="FL50" s="2" t="str">
        <f t="shared" si="6"/>
        <v/>
      </c>
      <c r="FM50" s="2" t="str">
        <f t="shared" si="6"/>
        <v/>
      </c>
      <c r="FN50" s="2" t="str">
        <f t="shared" si="6"/>
        <v/>
      </c>
      <c r="FO50" s="2" t="str">
        <f t="shared" si="6"/>
        <v/>
      </c>
      <c r="FP50" s="2" t="str">
        <f t="shared" si="6"/>
        <v/>
      </c>
      <c r="FQ50" s="2" t="str">
        <f t="shared" si="6"/>
        <v/>
      </c>
      <c r="FR50" s="2" t="str">
        <f t="shared" si="6"/>
        <v/>
      </c>
      <c r="FS50" s="2" t="str">
        <f t="shared" si="6"/>
        <v/>
      </c>
      <c r="FT50" s="2" t="str">
        <f t="shared" si="6"/>
        <v/>
      </c>
      <c r="FU50" s="2" t="str">
        <f t="shared" si="6"/>
        <v/>
      </c>
      <c r="FV50" s="2" t="str">
        <f t="shared" si="6"/>
        <v/>
      </c>
      <c r="FW50" s="2" t="str">
        <f t="shared" si="6"/>
        <v/>
      </c>
      <c r="FX50" s="2" t="str">
        <f t="shared" si="6"/>
        <v/>
      </c>
      <c r="FY50" s="2" t="str">
        <f t="shared" si="6"/>
        <v/>
      </c>
      <c r="FZ50" s="2" t="str">
        <f t="shared" si="6"/>
        <v/>
      </c>
      <c r="GA50" s="2" t="str">
        <f t="shared" si="6"/>
        <v/>
      </c>
      <c r="GB50" s="2" t="str">
        <f t="shared" si="6"/>
        <v/>
      </c>
      <c r="GC50" s="2" t="str">
        <f t="shared" si="6"/>
        <v/>
      </c>
      <c r="GD50" s="2" t="str">
        <f t="shared" si="6"/>
        <v/>
      </c>
      <c r="GE50" s="2" t="str">
        <f t="shared" si="6"/>
        <v/>
      </c>
      <c r="GF50" s="2" t="str">
        <f t="shared" si="6"/>
        <v/>
      </c>
      <c r="GG50" s="2" t="str">
        <f t="shared" si="6"/>
        <v/>
      </c>
      <c r="GH50" s="2" t="str">
        <f t="shared" si="6"/>
        <v/>
      </c>
      <c r="GI50" s="2" t="str">
        <f t="shared" si="6"/>
        <v/>
      </c>
      <c r="GJ50" s="2" t="str">
        <f t="shared" si="6"/>
        <v/>
      </c>
      <c r="GK50" s="2" t="str">
        <f t="shared" si="6"/>
        <v/>
      </c>
      <c r="GL50" s="2" t="str">
        <f t="shared" si="6"/>
        <v/>
      </c>
      <c r="GM50" s="2" t="str">
        <f t="shared" si="6"/>
        <v/>
      </c>
      <c r="GN50" s="2" t="str">
        <f t="shared" ref="GN50:IV50" si="7">IF(GN$41="","","")</f>
        <v/>
      </c>
      <c r="GO50" s="2" t="str">
        <f t="shared" si="7"/>
        <v/>
      </c>
      <c r="GP50" s="2" t="str">
        <f t="shared" si="7"/>
        <v/>
      </c>
      <c r="GQ50" s="2" t="str">
        <f t="shared" si="7"/>
        <v/>
      </c>
      <c r="GR50" s="2" t="str">
        <f t="shared" si="7"/>
        <v/>
      </c>
      <c r="GS50" s="2" t="str">
        <f t="shared" si="7"/>
        <v/>
      </c>
      <c r="GT50" s="2" t="str">
        <f t="shared" si="7"/>
        <v/>
      </c>
      <c r="GU50" s="2" t="str">
        <f t="shared" si="7"/>
        <v/>
      </c>
      <c r="GV50" s="2" t="str">
        <f t="shared" si="7"/>
        <v/>
      </c>
      <c r="GW50" s="2" t="str">
        <f t="shared" si="7"/>
        <v/>
      </c>
      <c r="GX50" s="2" t="str">
        <f t="shared" si="7"/>
        <v/>
      </c>
      <c r="GY50" s="2" t="str">
        <f t="shared" si="7"/>
        <v/>
      </c>
      <c r="GZ50" s="2" t="str">
        <f t="shared" si="7"/>
        <v/>
      </c>
      <c r="HA50" s="2" t="str">
        <f t="shared" si="7"/>
        <v/>
      </c>
      <c r="HB50" s="2" t="str">
        <f t="shared" si="7"/>
        <v/>
      </c>
      <c r="HC50" s="2" t="str">
        <f t="shared" si="7"/>
        <v/>
      </c>
      <c r="HD50" s="2" t="str">
        <f t="shared" si="7"/>
        <v/>
      </c>
      <c r="HE50" s="2" t="str">
        <f t="shared" si="7"/>
        <v/>
      </c>
      <c r="HF50" s="2" t="str">
        <f t="shared" si="7"/>
        <v/>
      </c>
      <c r="HG50" s="2" t="str">
        <f t="shared" si="7"/>
        <v/>
      </c>
      <c r="HH50" s="2" t="str">
        <f t="shared" si="7"/>
        <v/>
      </c>
      <c r="HI50" s="2" t="str">
        <f t="shared" si="7"/>
        <v/>
      </c>
      <c r="HJ50" s="2" t="str">
        <f t="shared" si="7"/>
        <v/>
      </c>
      <c r="HK50" s="2" t="str">
        <f t="shared" si="7"/>
        <v/>
      </c>
      <c r="HL50" s="2" t="str">
        <f t="shared" si="7"/>
        <v/>
      </c>
      <c r="HM50" s="2" t="str">
        <f t="shared" si="7"/>
        <v/>
      </c>
      <c r="HN50" s="2" t="str">
        <f t="shared" si="7"/>
        <v/>
      </c>
      <c r="HO50" s="2" t="str">
        <f t="shared" si="7"/>
        <v/>
      </c>
      <c r="HP50" s="2" t="str">
        <f t="shared" si="7"/>
        <v/>
      </c>
      <c r="HQ50" s="2" t="str">
        <f t="shared" si="7"/>
        <v/>
      </c>
      <c r="HR50" s="2" t="str">
        <f t="shared" si="7"/>
        <v/>
      </c>
      <c r="HS50" s="2" t="str">
        <f t="shared" si="7"/>
        <v/>
      </c>
      <c r="HT50" s="2" t="str">
        <f t="shared" si="7"/>
        <v/>
      </c>
      <c r="HU50" s="2" t="str">
        <f t="shared" si="7"/>
        <v/>
      </c>
      <c r="HV50" s="2" t="str">
        <f t="shared" si="7"/>
        <v/>
      </c>
      <c r="HW50" s="2" t="str">
        <f t="shared" si="7"/>
        <v/>
      </c>
      <c r="HX50" s="2" t="str">
        <f t="shared" si="7"/>
        <v/>
      </c>
      <c r="HY50" s="2" t="str">
        <f t="shared" si="7"/>
        <v/>
      </c>
      <c r="HZ50" s="2" t="str">
        <f t="shared" si="7"/>
        <v/>
      </c>
      <c r="IA50" s="2" t="str">
        <f t="shared" si="7"/>
        <v/>
      </c>
      <c r="IB50" s="2" t="str">
        <f t="shared" si="7"/>
        <v/>
      </c>
      <c r="IC50" s="2" t="str">
        <f t="shared" si="7"/>
        <v/>
      </c>
      <c r="ID50" s="2" t="str">
        <f t="shared" si="7"/>
        <v/>
      </c>
      <c r="IE50" s="2" t="str">
        <f t="shared" si="7"/>
        <v/>
      </c>
      <c r="IF50" s="2" t="str">
        <f t="shared" si="7"/>
        <v/>
      </c>
      <c r="IG50" s="2" t="str">
        <f t="shared" si="7"/>
        <v/>
      </c>
      <c r="IH50" s="2" t="str">
        <f t="shared" si="7"/>
        <v/>
      </c>
      <c r="II50" s="2" t="str">
        <f t="shared" si="7"/>
        <v/>
      </c>
      <c r="IJ50" s="2" t="str">
        <f t="shared" si="7"/>
        <v/>
      </c>
      <c r="IK50" s="2" t="str">
        <f t="shared" si="7"/>
        <v/>
      </c>
      <c r="IL50" s="2" t="str">
        <f t="shared" si="7"/>
        <v/>
      </c>
      <c r="IM50" s="2" t="str">
        <f t="shared" si="7"/>
        <v/>
      </c>
      <c r="IN50" s="2" t="str">
        <f t="shared" si="7"/>
        <v/>
      </c>
      <c r="IO50" s="2" t="str">
        <f t="shared" si="7"/>
        <v/>
      </c>
      <c r="IP50" s="2" t="str">
        <f t="shared" si="7"/>
        <v/>
      </c>
      <c r="IQ50" s="2" t="str">
        <f t="shared" si="7"/>
        <v/>
      </c>
      <c r="IR50" s="2" t="str">
        <f t="shared" si="7"/>
        <v/>
      </c>
      <c r="IS50" s="2" t="str">
        <f t="shared" si="7"/>
        <v/>
      </c>
      <c r="IT50" s="2" t="str">
        <f t="shared" si="7"/>
        <v/>
      </c>
      <c r="IU50" s="2" t="str">
        <f t="shared" si="7"/>
        <v/>
      </c>
      <c r="IV50" s="2" t="str">
        <f t="shared" si="7"/>
        <v/>
      </c>
    </row>
    <row r="51" spans="1:256" x14ac:dyDescent="0.2">
      <c r="A51" s="3" t="s">
        <v>16</v>
      </c>
      <c r="C51" s="2" t="str">
        <f ca="1">IF(C$41="","",TEXTJOINARRAY("|",TRUE,FINDLINKS(DatasetLinks,MATCH("Dataset "&amp;MINDS!C$55,OFFSET(DatasetLinks,0,0,1),0), "Brain structure ", BrainStructureLookup, 2)))</f>
        <v/>
      </c>
      <c r="D51" s="2" t="str">
        <f ca="1">IF(D$41="","",TEXTJOINARRAY("|",TRUE,FINDLINKS(DatasetLinks,MATCH("Dataset "&amp;MINDS!D$55,OFFSET(DatasetLinks,0,0,1),0), "Brain structure ", BrainStructureLookup, 2)))</f>
        <v/>
      </c>
      <c r="E51" s="2" t="str">
        <f ca="1">IF(E$41="","",TEXTJOINARRAY("|",TRUE,FINDLINKS(DatasetLinks,MATCH("Dataset "&amp;MINDS!E$55,OFFSET(DatasetLinks,0,0,1),0), "Brain structure ", BrainStructureLookup, 2)))</f>
        <v/>
      </c>
      <c r="F51" s="2" t="str">
        <f ca="1">IF(F$41="","",TEXTJOINARRAY("|",TRUE,FINDLINKS(DatasetLinks,MATCH("Dataset "&amp;MINDS!F$55,OFFSET(DatasetLinks,0,0,1),0), "Brain structure ", BrainStructureLookup, 2)))</f>
        <v/>
      </c>
      <c r="G51" s="2" t="str">
        <f ca="1">IF(G$41="","",TEXTJOINARRAY("|",TRUE,FINDLINKS(DatasetLinks,MATCH("Dataset "&amp;MINDS!G$55,OFFSET(DatasetLinks,0,0,1),0), "Brain structure ", BrainStructureLookup, 2)))</f>
        <v/>
      </c>
      <c r="H51" s="2" t="str">
        <f ca="1">IF(H$41="","",TEXTJOINARRAY("|",TRUE,FINDLINKS(DatasetLinks,MATCH("Dataset "&amp;MINDS!H$55,OFFSET(DatasetLinks,0,0,1),0), "Brain structure ", BrainStructureLookup, 2)))</f>
        <v/>
      </c>
      <c r="I51" s="2" t="str">
        <f ca="1">IF(I$41="","",TEXTJOINARRAY("|",TRUE,FINDLINKS(DatasetLinks,MATCH("Dataset "&amp;MINDS!I$55,OFFSET(DatasetLinks,0,0,1),0), "Brain structure ", BrainStructureLookup, 2)))</f>
        <v/>
      </c>
      <c r="J51" s="2" t="str">
        <f ca="1">IF(J$41="","",TEXTJOINARRAY("|",TRUE,FINDLINKS(DatasetLinks,MATCH("Dataset "&amp;MINDS!J$55,OFFSET(DatasetLinks,0,0,1),0), "Brain structure ", BrainStructureLookup, 2)))</f>
        <v/>
      </c>
      <c r="K51" s="2" t="str">
        <f ca="1">IF(K$41="","",TEXTJOINARRAY("|",TRUE,FINDLINKS(DatasetLinks,MATCH("Dataset "&amp;MINDS!K$55,OFFSET(DatasetLinks,0,0,1),0), "Brain structure ", BrainStructureLookup, 2)))</f>
        <v/>
      </c>
      <c r="L51" s="2" t="str">
        <f ca="1">IF(L$41="","",TEXTJOINARRAY("|",TRUE,FINDLINKS(DatasetLinks,MATCH("Dataset "&amp;MINDS!L$55,OFFSET(DatasetLinks,0,0,1),0), "Brain structure ", BrainStructureLookup, 2)))</f>
        <v/>
      </c>
      <c r="M51" s="2" t="str">
        <f ca="1">IF(M$41="","",TEXTJOINARRAY("|",TRUE,FINDLINKS(DatasetLinks,MATCH("Dataset "&amp;MINDS!M$55,OFFSET(DatasetLinks,0,0,1),0), "Brain structure ", BrainStructureLookup, 2)))</f>
        <v/>
      </c>
      <c r="N51" s="2" t="str">
        <f ca="1">IF(N$41="","",TEXTJOINARRAY("|",TRUE,FINDLINKS(DatasetLinks,MATCH("Dataset "&amp;MINDS!N$55,OFFSET(DatasetLinks,0,0,1),0), "Brain structure ", BrainStructureLookup, 2)))</f>
        <v/>
      </c>
      <c r="O51" s="2" t="str">
        <f ca="1">IF(O$41="","",TEXTJOINARRAY("|",TRUE,FINDLINKS(DatasetLinks,MATCH("Dataset "&amp;MINDS!O$55,OFFSET(DatasetLinks,0,0,1),0), "Brain structure ", BrainStructureLookup, 2)))</f>
        <v/>
      </c>
      <c r="P51" s="2" t="str">
        <f ca="1">IF(P$41="","",TEXTJOINARRAY("|",TRUE,FINDLINKS(DatasetLinks,MATCH("Dataset "&amp;MINDS!P$55,OFFSET(DatasetLinks,0,0,1),0), "Brain structure ", BrainStructureLookup, 2)))</f>
        <v/>
      </c>
      <c r="Q51" s="2" t="str">
        <f ca="1">IF(Q$41="","",TEXTJOINARRAY("|",TRUE,FINDLINKS(DatasetLinks,MATCH("Dataset "&amp;MINDS!Q$55,OFFSET(DatasetLinks,0,0,1),0), "Brain structure ", BrainStructureLookup, 2)))</f>
        <v/>
      </c>
      <c r="R51" s="2" t="str">
        <f ca="1">IF(R$41="","",TEXTJOINARRAY("|",TRUE,FINDLINKS(DatasetLinks,MATCH("Dataset "&amp;MINDS!R$55,OFFSET(DatasetLinks,0,0,1),0), "Brain structure ", BrainStructureLookup, 2)))</f>
        <v/>
      </c>
      <c r="S51" s="2" t="str">
        <f ca="1">IF(S$41="","",TEXTJOINARRAY("|",TRUE,FINDLINKS(DatasetLinks,MATCH("Dataset "&amp;MINDS!S$55,OFFSET(DatasetLinks,0,0,1),0), "Brain structure ", BrainStructureLookup, 2)))</f>
        <v/>
      </c>
      <c r="T51" s="2" t="str">
        <f ca="1">IF(T$41="","",TEXTJOINARRAY("|",TRUE,FINDLINKS(DatasetLinks,MATCH("Dataset "&amp;MINDS!T$55,OFFSET(DatasetLinks,0,0,1),0), "Brain structure ", BrainStructureLookup, 2)))</f>
        <v/>
      </c>
      <c r="U51" s="2" t="str">
        <f ca="1">IF(U$41="","",TEXTJOINARRAY("|",TRUE,FINDLINKS(DatasetLinks,MATCH("Dataset "&amp;MINDS!U$55,OFFSET(DatasetLinks,0,0,1),0), "Brain structure ", BrainStructureLookup, 2)))</f>
        <v/>
      </c>
      <c r="V51" s="2" t="str">
        <f ca="1">IF(V$41="","",TEXTJOINARRAY("|",TRUE,FINDLINKS(DatasetLinks,MATCH("Dataset "&amp;MINDS!V$55,OFFSET(DatasetLinks,0,0,1),0), "Brain structure ", BrainStructureLookup, 2)))</f>
        <v/>
      </c>
      <c r="W51" s="2" t="str">
        <f ca="1">IF(W$41="","",TEXTJOINARRAY("|",TRUE,FINDLINKS(DatasetLinks,MATCH("Dataset "&amp;MINDS!W$55,OFFSET(DatasetLinks,0,0,1),0), "Brain structure ", BrainStructureLookup, 2)))</f>
        <v/>
      </c>
      <c r="X51" s="2" t="str">
        <f ca="1">IF(X$41="","",TEXTJOINARRAY("|",TRUE,FINDLINKS(DatasetLinks,MATCH("Dataset "&amp;MINDS!X$55,OFFSET(DatasetLinks,0,0,1),0), "Brain structure ", BrainStructureLookup, 2)))</f>
        <v/>
      </c>
      <c r="Y51" s="2" t="str">
        <f ca="1">IF(Y$41="","",TEXTJOINARRAY("|",TRUE,FINDLINKS(DatasetLinks,MATCH("Dataset "&amp;MINDS!Y$55,OFFSET(DatasetLinks,0,0,1),0), "Brain structure ", BrainStructureLookup, 2)))</f>
        <v/>
      </c>
      <c r="Z51" s="2" t="str">
        <f ca="1">IF(Z$41="","",TEXTJOINARRAY("|",TRUE,FINDLINKS(DatasetLinks,MATCH("Dataset "&amp;MINDS!Z$55,OFFSET(DatasetLinks,0,0,1),0), "Brain structure ", BrainStructureLookup, 2)))</f>
        <v/>
      </c>
      <c r="AA51" s="2" t="str">
        <f ca="1">IF(AA$41="","",TEXTJOINARRAY("|",TRUE,FINDLINKS(DatasetLinks,MATCH("Dataset "&amp;MINDS!AA$55,OFFSET(DatasetLinks,0,0,1),0), "Brain structure ", BrainStructureLookup, 2)))</f>
        <v/>
      </c>
      <c r="AB51" s="2" t="str">
        <f ca="1">IF(AB$41="","",TEXTJOINARRAY("|",TRUE,FINDLINKS(DatasetLinks,MATCH("Dataset "&amp;MINDS!AB$55,OFFSET(DatasetLinks,0,0,1),0), "Brain structure ", BrainStructureLookup, 2)))</f>
        <v/>
      </c>
      <c r="AC51" s="2" t="str">
        <f ca="1">IF(AC$41="","",TEXTJOINARRAY("|",TRUE,FINDLINKS(DatasetLinks,MATCH("Dataset "&amp;MINDS!AC$55,OFFSET(DatasetLinks,0,0,1),0), "Brain structure ", BrainStructureLookup, 2)))</f>
        <v/>
      </c>
      <c r="AD51" s="2" t="str">
        <f ca="1">IF(AD$41="","",TEXTJOINARRAY("|",TRUE,FINDLINKS(DatasetLinks,MATCH("Dataset "&amp;MINDS!AD$55,OFFSET(DatasetLinks,0,0,1),0), "Brain structure ", BrainStructureLookup, 2)))</f>
        <v/>
      </c>
      <c r="AE51" s="2" t="str">
        <f ca="1">IF(AE$41="","",TEXTJOINARRAY("|",TRUE,FINDLINKS(DatasetLinks,MATCH("Dataset "&amp;MINDS!AE$55,OFFSET(DatasetLinks,0,0,1),0), "Brain structure ", BrainStructureLookup, 2)))</f>
        <v/>
      </c>
      <c r="AF51" s="2" t="str">
        <f ca="1">IF(AF$41="","",TEXTJOINARRAY("|",TRUE,FINDLINKS(DatasetLinks,MATCH("Dataset "&amp;MINDS!AF$55,OFFSET(DatasetLinks,0,0,1),0), "Brain structure ", BrainStructureLookup, 2)))</f>
        <v/>
      </c>
      <c r="AG51" s="2" t="str">
        <f ca="1">IF(AG$41="","",TEXTJOINARRAY("|",TRUE,FINDLINKS(DatasetLinks,MATCH("Dataset "&amp;MINDS!AG$55,OFFSET(DatasetLinks,0,0,1),0), "Brain structure ", BrainStructureLookup, 2)))</f>
        <v/>
      </c>
      <c r="AH51" s="2" t="str">
        <f ca="1">IF(AH$41="","",TEXTJOINARRAY("|",TRUE,FINDLINKS(DatasetLinks,MATCH("Dataset "&amp;MINDS!AH$55,OFFSET(DatasetLinks,0,0,1),0), "Brain structure ", BrainStructureLookup, 2)))</f>
        <v/>
      </c>
      <c r="AI51" s="2" t="str">
        <f ca="1">IF(AI$41="","",TEXTJOINARRAY("|",TRUE,FINDLINKS(DatasetLinks,MATCH("Dataset "&amp;MINDS!AI$55,OFFSET(DatasetLinks,0,0,1),0), "Brain structure ", BrainStructureLookup, 2)))</f>
        <v/>
      </c>
      <c r="AJ51" s="2" t="str">
        <f ca="1">IF(AJ$41="","",TEXTJOINARRAY("|",TRUE,FINDLINKS(DatasetLinks,MATCH("Dataset "&amp;MINDS!AJ$55,OFFSET(DatasetLinks,0,0,1),0), "Brain structure ", BrainStructureLookup, 2)))</f>
        <v/>
      </c>
      <c r="AK51" s="2" t="str">
        <f ca="1">IF(AK$41="","",TEXTJOINARRAY("|",TRUE,FINDLINKS(DatasetLinks,MATCH("Dataset "&amp;MINDS!AK$55,OFFSET(DatasetLinks,0,0,1),0), "Brain structure ", BrainStructureLookup, 2)))</f>
        <v/>
      </c>
      <c r="AL51" s="2" t="str">
        <f ca="1">IF(AL$41="","",TEXTJOINARRAY("|",TRUE,FINDLINKS(DatasetLinks,MATCH("Dataset "&amp;MINDS!AL$55,OFFSET(DatasetLinks,0,0,1),0), "Brain structure ", BrainStructureLookup, 2)))</f>
        <v/>
      </c>
      <c r="AM51" s="2" t="str">
        <f ca="1">IF(AM$41="","",TEXTJOINARRAY("|",TRUE,FINDLINKS(DatasetLinks,MATCH("Dataset "&amp;MINDS!AM$55,OFFSET(DatasetLinks,0,0,1),0), "Brain structure ", BrainStructureLookup, 2)))</f>
        <v/>
      </c>
      <c r="AN51" s="2" t="str">
        <f ca="1">IF(AN$41="","",TEXTJOINARRAY("|",TRUE,FINDLINKS(DatasetLinks,MATCH("Dataset "&amp;MINDS!AN$55,OFFSET(DatasetLinks,0,0,1),0), "Brain structure ", BrainStructureLookup, 2)))</f>
        <v/>
      </c>
      <c r="AO51" s="2" t="str">
        <f ca="1">IF(AO$41="","",TEXTJOINARRAY("|",TRUE,FINDLINKS(DatasetLinks,MATCH("Dataset "&amp;MINDS!AO$55,OFFSET(DatasetLinks,0,0,1),0), "Brain structure ", BrainStructureLookup, 2)))</f>
        <v/>
      </c>
      <c r="AP51" s="2" t="str">
        <f ca="1">IF(AP$41="","",TEXTJOINARRAY("|",TRUE,FINDLINKS(DatasetLinks,MATCH("Dataset "&amp;MINDS!AP$55,OFFSET(DatasetLinks,0,0,1),0), "Brain structure ", BrainStructureLookup, 2)))</f>
        <v/>
      </c>
      <c r="AQ51" s="2" t="str">
        <f ca="1">IF(AQ$41="","",TEXTJOINARRAY("|",TRUE,FINDLINKS(DatasetLinks,MATCH("Dataset "&amp;MINDS!AQ$55,OFFSET(DatasetLinks,0,0,1),0), "Brain structure ", BrainStructureLookup, 2)))</f>
        <v/>
      </c>
      <c r="AR51" s="2" t="str">
        <f ca="1">IF(AR$41="","",TEXTJOINARRAY("|",TRUE,FINDLINKS(DatasetLinks,MATCH("Dataset "&amp;MINDS!AR$55,OFFSET(DatasetLinks,0,0,1),0), "Brain structure ", BrainStructureLookup, 2)))</f>
        <v/>
      </c>
      <c r="AS51" s="2" t="str">
        <f ca="1">IF(AS$41="","",TEXTJOINARRAY("|",TRUE,FINDLINKS(DatasetLinks,MATCH("Dataset "&amp;MINDS!AS$55,OFFSET(DatasetLinks,0,0,1),0), "Brain structure ", BrainStructureLookup, 2)))</f>
        <v/>
      </c>
      <c r="AT51" s="2" t="str">
        <f ca="1">IF(AT$41="","",TEXTJOINARRAY("|",TRUE,FINDLINKS(DatasetLinks,MATCH("Dataset "&amp;MINDS!AT$55,OFFSET(DatasetLinks,0,0,1),0), "Brain structure ", BrainStructureLookup, 2)))</f>
        <v/>
      </c>
      <c r="AU51" s="2" t="str">
        <f ca="1">IF(AU$41="","",TEXTJOINARRAY("|",TRUE,FINDLINKS(DatasetLinks,MATCH("Dataset "&amp;MINDS!AU$55,OFFSET(DatasetLinks,0,0,1),0), "Brain structure ", BrainStructureLookup, 2)))</f>
        <v/>
      </c>
      <c r="AV51" s="2" t="str">
        <f ca="1">IF(AV$41="","",TEXTJOINARRAY("|",TRUE,FINDLINKS(DatasetLinks,MATCH("Dataset "&amp;MINDS!AV$55,OFFSET(DatasetLinks,0,0,1),0), "Brain structure ", BrainStructureLookup, 2)))</f>
        <v/>
      </c>
      <c r="AW51" s="2" t="str">
        <f ca="1">IF(AW$41="","",TEXTJOINARRAY("|",TRUE,FINDLINKS(DatasetLinks,MATCH("Dataset "&amp;MINDS!AW$55,OFFSET(DatasetLinks,0,0,1),0), "Brain structure ", BrainStructureLookup, 2)))</f>
        <v/>
      </c>
      <c r="AX51" s="2" t="str">
        <f ca="1">IF(AX$41="","",TEXTJOINARRAY("|",TRUE,FINDLINKS(DatasetLinks,MATCH("Dataset "&amp;MINDS!AX$55,OFFSET(DatasetLinks,0,0,1),0), "Brain structure ", BrainStructureLookup, 2)))</f>
        <v/>
      </c>
      <c r="AY51" s="2" t="str">
        <f ca="1">IF(AY$41="","",TEXTJOINARRAY("|",TRUE,FINDLINKS(DatasetLinks,MATCH("Dataset "&amp;MINDS!AY$55,OFFSET(DatasetLinks,0,0,1),0), "Brain structure ", BrainStructureLookup, 2)))</f>
        <v/>
      </c>
      <c r="AZ51" s="2" t="str">
        <f ca="1">IF(AZ$41="","",TEXTJOINARRAY("|",TRUE,FINDLINKS(DatasetLinks,MATCH("Dataset "&amp;MINDS!AZ$55,OFFSET(DatasetLinks,0,0,1),0), "Brain structure ", BrainStructureLookup, 2)))</f>
        <v/>
      </c>
      <c r="BA51" s="2" t="str">
        <f ca="1">IF(BA$41="","",TEXTJOINARRAY("|",TRUE,FINDLINKS(DatasetLinks,MATCH("Dataset "&amp;MINDS!BA$55,OFFSET(DatasetLinks,0,0,1),0), "Brain structure ", BrainStructureLookup, 2)))</f>
        <v/>
      </c>
      <c r="BB51" s="2" t="str">
        <f ca="1">IF(BB$41="","",TEXTJOINARRAY("|",TRUE,FINDLINKS(DatasetLinks,MATCH("Dataset "&amp;MINDS!BB$55,OFFSET(DatasetLinks,0,0,1),0), "Brain structure ", BrainStructureLookup, 2)))</f>
        <v/>
      </c>
      <c r="BC51" s="2" t="str">
        <f ca="1">IF(BC$41="","",TEXTJOINARRAY("|",TRUE,FINDLINKS(DatasetLinks,MATCH("Dataset "&amp;MINDS!BC$55,OFFSET(DatasetLinks,0,0,1),0), "Brain structure ", BrainStructureLookup, 2)))</f>
        <v/>
      </c>
      <c r="BD51" s="2" t="str">
        <f ca="1">IF(BD$41="","",TEXTJOINARRAY("|",TRUE,FINDLINKS(DatasetLinks,MATCH("Dataset "&amp;MINDS!BD$55,OFFSET(DatasetLinks,0,0,1),0), "Brain structure ", BrainStructureLookup, 2)))</f>
        <v/>
      </c>
      <c r="BE51" s="2" t="str">
        <f ca="1">IF(BE$41="","",TEXTJOINARRAY("|",TRUE,FINDLINKS(DatasetLinks,MATCH("Dataset "&amp;MINDS!BE$55,OFFSET(DatasetLinks,0,0,1),0), "Brain structure ", BrainStructureLookup, 2)))</f>
        <v/>
      </c>
      <c r="BF51" s="2" t="str">
        <f ca="1">IF(BF$41="","",TEXTJOINARRAY("|",TRUE,FINDLINKS(DatasetLinks,MATCH("Dataset "&amp;MINDS!BF$55,OFFSET(DatasetLinks,0,0,1),0), "Brain structure ", BrainStructureLookup, 2)))</f>
        <v/>
      </c>
      <c r="BG51" s="2" t="str">
        <f ca="1">IF(BG$41="","",TEXTJOINARRAY("|",TRUE,FINDLINKS(DatasetLinks,MATCH("Dataset "&amp;MINDS!BG$55,OFFSET(DatasetLinks,0,0,1),0), "Brain structure ", BrainStructureLookup, 2)))</f>
        <v/>
      </c>
      <c r="BH51" s="2" t="str">
        <f ca="1">IF(BH$41="","",TEXTJOINARRAY("|",TRUE,FINDLINKS(DatasetLinks,MATCH("Dataset "&amp;MINDS!BH$55,OFFSET(DatasetLinks,0,0,1),0), "Brain structure ", BrainStructureLookup, 2)))</f>
        <v/>
      </c>
      <c r="BI51" s="2" t="str">
        <f ca="1">IF(BI$41="","",TEXTJOINARRAY("|",TRUE,FINDLINKS(DatasetLinks,MATCH("Dataset "&amp;MINDS!BI$55,OFFSET(DatasetLinks,0,0,1),0), "Brain structure ", BrainStructureLookup, 2)))</f>
        <v/>
      </c>
      <c r="BJ51" s="2" t="str">
        <f ca="1">IF(BJ$41="","",TEXTJOINARRAY("|",TRUE,FINDLINKS(DatasetLinks,MATCH("Dataset "&amp;MINDS!BJ$55,OFFSET(DatasetLinks,0,0,1),0), "Brain structure ", BrainStructureLookup, 2)))</f>
        <v/>
      </c>
      <c r="BK51" s="2" t="str">
        <f ca="1">IF(BK$41="","",TEXTJOINARRAY("|",TRUE,FINDLINKS(DatasetLinks,MATCH("Dataset "&amp;MINDS!BK$55,OFFSET(DatasetLinks,0,0,1),0), "Brain structure ", BrainStructureLookup, 2)))</f>
        <v/>
      </c>
      <c r="BL51" s="2" t="str">
        <f ca="1">IF(BL$41="","",TEXTJOINARRAY("|",TRUE,FINDLINKS(DatasetLinks,MATCH("Dataset "&amp;MINDS!BL$55,OFFSET(DatasetLinks,0,0,1),0), "Brain structure ", BrainStructureLookup, 2)))</f>
        <v/>
      </c>
      <c r="BM51" s="2" t="str">
        <f ca="1">IF(BM$41="","",TEXTJOINARRAY("|",TRUE,FINDLINKS(DatasetLinks,MATCH("Dataset "&amp;MINDS!BM$55,OFFSET(DatasetLinks,0,0,1),0), "Brain structure ", BrainStructureLookup, 2)))</f>
        <v/>
      </c>
      <c r="BN51" s="2" t="str">
        <f ca="1">IF(BN$41="","",TEXTJOINARRAY("|",TRUE,FINDLINKS(DatasetLinks,MATCH("Dataset "&amp;MINDS!BN$55,OFFSET(DatasetLinks,0,0,1),0), "Brain structure ", BrainStructureLookup, 2)))</f>
        <v/>
      </c>
      <c r="BO51" s="2" t="str">
        <f ca="1">IF(BO$41="","",TEXTJOINARRAY("|",TRUE,FINDLINKS(DatasetLinks,MATCH("Dataset "&amp;MINDS!BO$55,OFFSET(DatasetLinks,0,0,1),0), "Brain structure ", BrainStructureLookup, 2)))</f>
        <v/>
      </c>
      <c r="BP51" s="2" t="str">
        <f ca="1">IF(BP$41="","",TEXTJOINARRAY("|",TRUE,FINDLINKS(DatasetLinks,MATCH("Dataset "&amp;MINDS!BP$55,OFFSET(DatasetLinks,0,0,1),0), "Brain structure ", BrainStructureLookup, 2)))</f>
        <v/>
      </c>
      <c r="BQ51" s="2" t="str">
        <f ca="1">IF(BQ$41="","",TEXTJOINARRAY("|",TRUE,FINDLINKS(DatasetLinks,MATCH("Dataset "&amp;MINDS!BQ$55,OFFSET(DatasetLinks,0,0,1),0), "Brain structure ", BrainStructureLookup, 2)))</f>
        <v/>
      </c>
      <c r="BR51" s="2" t="str">
        <f ca="1">IF(BR$41="","",TEXTJOINARRAY("|",TRUE,FINDLINKS(DatasetLinks,MATCH("Dataset "&amp;MINDS!BR$55,OFFSET(DatasetLinks,0,0,1),0), "Brain structure ", BrainStructureLookup, 2)))</f>
        <v/>
      </c>
      <c r="BS51" s="2" t="str">
        <f ca="1">IF(BS$41="","",TEXTJOINARRAY("|",TRUE,FINDLINKS(DatasetLinks,MATCH("Dataset "&amp;MINDS!BS$55,OFFSET(DatasetLinks,0,0,1),0), "Brain structure ", BrainStructureLookup, 2)))</f>
        <v/>
      </c>
      <c r="BT51" s="2" t="str">
        <f ca="1">IF(BT$41="","",TEXTJOINARRAY("|",TRUE,FINDLINKS(DatasetLinks,MATCH("Dataset "&amp;MINDS!BT$55,OFFSET(DatasetLinks,0,0,1),0), "Brain structure ", BrainStructureLookup, 2)))</f>
        <v/>
      </c>
      <c r="BU51" s="2" t="str">
        <f ca="1">IF(BU$41="","",TEXTJOINARRAY("|",TRUE,FINDLINKS(DatasetLinks,MATCH("Dataset "&amp;MINDS!BU$55,OFFSET(DatasetLinks,0,0,1),0), "Brain structure ", BrainStructureLookup, 2)))</f>
        <v/>
      </c>
      <c r="BV51" s="2" t="str">
        <f ca="1">IF(BV$41="","",TEXTJOINARRAY("|",TRUE,FINDLINKS(DatasetLinks,MATCH("Dataset "&amp;MINDS!BV$55,OFFSET(DatasetLinks,0,0,1),0), "Brain structure ", BrainStructureLookup, 2)))</f>
        <v/>
      </c>
      <c r="BW51" s="2" t="str">
        <f ca="1">IF(BW$41="","",TEXTJOINARRAY("|",TRUE,FINDLINKS(DatasetLinks,MATCH("Dataset "&amp;MINDS!BW$55,OFFSET(DatasetLinks,0,0,1),0), "Brain structure ", BrainStructureLookup, 2)))</f>
        <v/>
      </c>
      <c r="BX51" s="2" t="str">
        <f ca="1">IF(BX$41="","",TEXTJOINARRAY("|",TRUE,FINDLINKS(DatasetLinks,MATCH("Dataset "&amp;MINDS!BX$55,OFFSET(DatasetLinks,0,0,1),0), "Brain structure ", BrainStructureLookup, 2)))</f>
        <v/>
      </c>
      <c r="BY51" s="2" t="str">
        <f ca="1">IF(BY$41="","",TEXTJOINARRAY("|",TRUE,FINDLINKS(DatasetLinks,MATCH("Dataset "&amp;MINDS!BY$55,OFFSET(DatasetLinks,0,0,1),0), "Brain structure ", BrainStructureLookup, 2)))</f>
        <v/>
      </c>
      <c r="BZ51" s="2" t="str">
        <f ca="1">IF(BZ$41="","",TEXTJOINARRAY("|",TRUE,FINDLINKS(DatasetLinks,MATCH("Dataset "&amp;MINDS!BZ$55,OFFSET(DatasetLinks,0,0,1),0), "Brain structure ", BrainStructureLookup, 2)))</f>
        <v/>
      </c>
      <c r="CA51" s="2" t="str">
        <f ca="1">IF(CA$41="","",TEXTJOINARRAY("|",TRUE,FINDLINKS(DatasetLinks,MATCH("Dataset "&amp;MINDS!CA$55,OFFSET(DatasetLinks,0,0,1),0), "Brain structure ", BrainStructureLookup, 2)))</f>
        <v/>
      </c>
      <c r="CB51" s="2" t="str">
        <f ca="1">IF(CB$41="","",TEXTJOINARRAY("|",TRUE,FINDLINKS(DatasetLinks,MATCH("Dataset "&amp;MINDS!CB$55,OFFSET(DatasetLinks,0,0,1),0), "Brain structure ", BrainStructureLookup, 2)))</f>
        <v/>
      </c>
      <c r="CC51" s="2" t="str">
        <f ca="1">IF(CC$41="","",TEXTJOINARRAY("|",TRUE,FINDLINKS(DatasetLinks,MATCH("Dataset "&amp;MINDS!CC$55,OFFSET(DatasetLinks,0,0,1),0), "Brain structure ", BrainStructureLookup, 2)))</f>
        <v/>
      </c>
      <c r="CD51" s="2" t="str">
        <f ca="1">IF(CD$41="","",TEXTJOINARRAY("|",TRUE,FINDLINKS(DatasetLinks,MATCH("Dataset "&amp;MINDS!CD$55,OFFSET(DatasetLinks,0,0,1),0), "Brain structure ", BrainStructureLookup, 2)))</f>
        <v/>
      </c>
      <c r="CE51" s="2" t="str">
        <f ca="1">IF(CE$41="","",TEXTJOINARRAY("|",TRUE,FINDLINKS(DatasetLinks,MATCH("Dataset "&amp;MINDS!CE$55,OFFSET(DatasetLinks,0,0,1),0), "Brain structure ", BrainStructureLookup, 2)))</f>
        <v/>
      </c>
      <c r="CF51" s="2" t="str">
        <f ca="1">IF(CF$41="","",TEXTJOINARRAY("|",TRUE,FINDLINKS(DatasetLinks,MATCH("Dataset "&amp;MINDS!CF$55,OFFSET(DatasetLinks,0,0,1),0), "Brain structure ", BrainStructureLookup, 2)))</f>
        <v/>
      </c>
      <c r="CG51" s="2" t="str">
        <f ca="1">IF(CG$41="","",TEXTJOINARRAY("|",TRUE,FINDLINKS(DatasetLinks,MATCH("Dataset "&amp;MINDS!CG$55,OFFSET(DatasetLinks,0,0,1),0), "Brain structure ", BrainStructureLookup, 2)))</f>
        <v/>
      </c>
      <c r="CH51" s="2" t="str">
        <f ca="1">IF(CH$41="","",TEXTJOINARRAY("|",TRUE,FINDLINKS(DatasetLinks,MATCH("Dataset "&amp;MINDS!CH$55,OFFSET(DatasetLinks,0,0,1),0), "Brain structure ", BrainStructureLookup, 2)))</f>
        <v/>
      </c>
      <c r="CI51" s="2" t="str">
        <f ca="1">IF(CI$41="","",TEXTJOINARRAY("|",TRUE,FINDLINKS(DatasetLinks,MATCH("Dataset "&amp;MINDS!CI$55,OFFSET(DatasetLinks,0,0,1),0), "Brain structure ", BrainStructureLookup, 2)))</f>
        <v/>
      </c>
      <c r="CJ51" s="2" t="str">
        <f ca="1">IF(CJ$41="","",TEXTJOINARRAY("|",TRUE,FINDLINKS(DatasetLinks,MATCH("Dataset "&amp;MINDS!CJ$55,OFFSET(DatasetLinks,0,0,1),0), "Brain structure ", BrainStructureLookup, 2)))</f>
        <v/>
      </c>
      <c r="CK51" s="2" t="str">
        <f ca="1">IF(CK$41="","",TEXTJOINARRAY("|",TRUE,FINDLINKS(DatasetLinks,MATCH("Dataset "&amp;MINDS!CK$55,OFFSET(DatasetLinks,0,0,1),0), "Brain structure ", BrainStructureLookup, 2)))</f>
        <v/>
      </c>
      <c r="CL51" s="2" t="str">
        <f ca="1">IF(CL$41="","",TEXTJOINARRAY("|",TRUE,FINDLINKS(DatasetLinks,MATCH("Dataset "&amp;MINDS!CL$55,OFFSET(DatasetLinks,0,0,1),0), "Brain structure ", BrainStructureLookup, 2)))</f>
        <v/>
      </c>
      <c r="CM51" s="2" t="str">
        <f ca="1">IF(CM$41="","",TEXTJOINARRAY("|",TRUE,FINDLINKS(DatasetLinks,MATCH("Dataset "&amp;MINDS!CM$55,OFFSET(DatasetLinks,0,0,1),0), "Brain structure ", BrainStructureLookup, 2)))</f>
        <v/>
      </c>
      <c r="CN51" s="2" t="str">
        <f ca="1">IF(CN$41="","",TEXTJOINARRAY("|",TRUE,FINDLINKS(DatasetLinks,MATCH("Dataset "&amp;MINDS!CN$55,OFFSET(DatasetLinks,0,0,1),0), "Brain structure ", BrainStructureLookup, 2)))</f>
        <v/>
      </c>
      <c r="CO51" s="2" t="str">
        <f ca="1">IF(CO$41="","",TEXTJOINARRAY("|",TRUE,FINDLINKS(DatasetLinks,MATCH("Dataset "&amp;MINDS!CO$55,OFFSET(DatasetLinks,0,0,1),0), "Brain structure ", BrainStructureLookup, 2)))</f>
        <v/>
      </c>
      <c r="CP51" s="2" t="str">
        <f ca="1">IF(CP$41="","",TEXTJOINARRAY("|",TRUE,FINDLINKS(DatasetLinks,MATCH("Dataset "&amp;MINDS!CP$55,OFFSET(DatasetLinks,0,0,1),0), "Brain structure ", BrainStructureLookup, 2)))</f>
        <v/>
      </c>
      <c r="CQ51" s="2" t="str">
        <f ca="1">IF(CQ$41="","",TEXTJOINARRAY("|",TRUE,FINDLINKS(DatasetLinks,MATCH("Dataset "&amp;MINDS!CQ$55,OFFSET(DatasetLinks,0,0,1),0), "Brain structure ", BrainStructureLookup, 2)))</f>
        <v/>
      </c>
      <c r="CR51" s="2" t="str">
        <f ca="1">IF(CR$41="","",TEXTJOINARRAY("|",TRUE,FINDLINKS(DatasetLinks,MATCH("Dataset "&amp;MINDS!CR$55,OFFSET(DatasetLinks,0,0,1),0), "Brain structure ", BrainStructureLookup, 2)))</f>
        <v/>
      </c>
      <c r="CS51" s="2" t="str">
        <f ca="1">IF(CS$41="","",TEXTJOINARRAY("|",TRUE,FINDLINKS(DatasetLinks,MATCH("Dataset "&amp;MINDS!CS$55,OFFSET(DatasetLinks,0,0,1),0), "Brain structure ", BrainStructureLookup, 2)))</f>
        <v/>
      </c>
      <c r="CT51" s="2" t="str">
        <f ca="1">IF(CT$41="","",TEXTJOINARRAY("|",TRUE,FINDLINKS(DatasetLinks,MATCH("Dataset "&amp;MINDS!CT$55,OFFSET(DatasetLinks,0,0,1),0), "Brain structure ", BrainStructureLookup, 2)))</f>
        <v/>
      </c>
      <c r="CU51" s="2" t="str">
        <f ca="1">IF(CU$41="","",TEXTJOINARRAY("|",TRUE,FINDLINKS(DatasetLinks,MATCH("Dataset "&amp;MINDS!CU$55,OFFSET(DatasetLinks,0,0,1),0), "Brain structure ", BrainStructureLookup, 2)))</f>
        <v/>
      </c>
      <c r="CV51" s="2" t="str">
        <f ca="1">IF(CV$41="","",TEXTJOINARRAY("|",TRUE,FINDLINKS(DatasetLinks,MATCH("Dataset "&amp;MINDS!CV$55,OFFSET(DatasetLinks,0,0,1),0), "Brain structure ", BrainStructureLookup, 2)))</f>
        <v/>
      </c>
      <c r="CW51" s="2" t="str">
        <f ca="1">IF(CW$41="","",TEXTJOINARRAY("|",TRUE,FINDLINKS(DatasetLinks,MATCH("Dataset "&amp;MINDS!CW$55,OFFSET(DatasetLinks,0,0,1),0), "Brain structure ", BrainStructureLookup, 2)))</f>
        <v/>
      </c>
      <c r="CX51" s="2" t="str">
        <f ca="1">IF(CX$41="","",TEXTJOINARRAY("|",TRUE,FINDLINKS(DatasetLinks,MATCH("Dataset "&amp;MINDS!CX$55,OFFSET(DatasetLinks,0,0,1),0), "Brain structure ", BrainStructureLookup, 2)))</f>
        <v/>
      </c>
      <c r="CY51" s="2" t="str">
        <f ca="1">IF(CY$41="","",TEXTJOINARRAY("|",TRUE,FINDLINKS(DatasetLinks,MATCH("Dataset "&amp;MINDS!CY$55,OFFSET(DatasetLinks,0,0,1),0), "Brain structure ", BrainStructureLookup, 2)))</f>
        <v/>
      </c>
      <c r="CZ51" s="2" t="str">
        <f ca="1">IF(CZ$41="","",TEXTJOINARRAY("|",TRUE,FINDLINKS(DatasetLinks,MATCH("Dataset "&amp;MINDS!CZ$55,OFFSET(DatasetLinks,0,0,1),0), "Brain structure ", BrainStructureLookup, 2)))</f>
        <v/>
      </c>
      <c r="DA51" s="2" t="str">
        <f ca="1">IF(DA$41="","",TEXTJOINARRAY("|",TRUE,FINDLINKS(DatasetLinks,MATCH("Dataset "&amp;MINDS!DA$55,OFFSET(DatasetLinks,0,0,1),0), "Brain structure ", BrainStructureLookup, 2)))</f>
        <v/>
      </c>
      <c r="DB51" s="2" t="str">
        <f ca="1">IF(DB$41="","",TEXTJOINARRAY("|",TRUE,FINDLINKS(DatasetLinks,MATCH("Dataset "&amp;MINDS!DB$55,OFFSET(DatasetLinks,0,0,1),0), "Brain structure ", BrainStructureLookup, 2)))</f>
        <v/>
      </c>
      <c r="DC51" s="2" t="str">
        <f ca="1">IF(DC$41="","",TEXTJOINARRAY("|",TRUE,FINDLINKS(DatasetLinks,MATCH("Dataset "&amp;MINDS!DC$55,OFFSET(DatasetLinks,0,0,1),0), "Brain structure ", BrainStructureLookup, 2)))</f>
        <v/>
      </c>
      <c r="DD51" s="2" t="str">
        <f ca="1">IF(DD$41="","",TEXTJOINARRAY("|",TRUE,FINDLINKS(DatasetLinks,MATCH("Dataset "&amp;MINDS!DD$55,OFFSET(DatasetLinks,0,0,1),0), "Brain structure ", BrainStructureLookup, 2)))</f>
        <v/>
      </c>
      <c r="DE51" s="2" t="str">
        <f ca="1">IF(DE$41="","",TEXTJOINARRAY("|",TRUE,FINDLINKS(DatasetLinks,MATCH("Dataset "&amp;MINDS!DE$55,OFFSET(DatasetLinks,0,0,1),0), "Brain structure ", BrainStructureLookup, 2)))</f>
        <v/>
      </c>
      <c r="DF51" s="2" t="str">
        <f ca="1">IF(DF$41="","",TEXTJOINARRAY("|",TRUE,FINDLINKS(DatasetLinks,MATCH("Dataset "&amp;MINDS!DF$55,OFFSET(DatasetLinks,0,0,1),0), "Brain structure ", BrainStructureLookup, 2)))</f>
        <v/>
      </c>
      <c r="DG51" s="2" t="str">
        <f ca="1">IF(DG$41="","",TEXTJOINARRAY("|",TRUE,FINDLINKS(DatasetLinks,MATCH("Dataset "&amp;MINDS!DG$55,OFFSET(DatasetLinks,0,0,1),0), "Brain structure ", BrainStructureLookup, 2)))</f>
        <v/>
      </c>
      <c r="DH51" s="2" t="str">
        <f ca="1">IF(DH$41="","",TEXTJOINARRAY("|",TRUE,FINDLINKS(DatasetLinks,MATCH("Dataset "&amp;MINDS!DH$55,OFFSET(DatasetLinks,0,0,1),0), "Brain structure ", BrainStructureLookup, 2)))</f>
        <v/>
      </c>
      <c r="DI51" s="2" t="str">
        <f ca="1">IF(DI$41="","",TEXTJOINARRAY("|",TRUE,FINDLINKS(DatasetLinks,MATCH("Dataset "&amp;MINDS!DI$55,OFFSET(DatasetLinks,0,0,1),0), "Brain structure ", BrainStructureLookup, 2)))</f>
        <v/>
      </c>
      <c r="DJ51" s="2" t="str">
        <f ca="1">IF(DJ$41="","",TEXTJOINARRAY("|",TRUE,FINDLINKS(DatasetLinks,MATCH("Dataset "&amp;MINDS!DJ$55,OFFSET(DatasetLinks,0,0,1),0), "Brain structure ", BrainStructureLookup, 2)))</f>
        <v/>
      </c>
      <c r="DK51" s="2" t="str">
        <f ca="1">IF(DK$41="","",TEXTJOINARRAY("|",TRUE,FINDLINKS(DatasetLinks,MATCH("Dataset "&amp;MINDS!DK$55,OFFSET(DatasetLinks,0,0,1),0), "Brain structure ", BrainStructureLookup, 2)))</f>
        <v/>
      </c>
      <c r="DL51" s="2" t="str">
        <f ca="1">IF(DL$41="","",TEXTJOINARRAY("|",TRUE,FINDLINKS(DatasetLinks,MATCH("Dataset "&amp;MINDS!DL$55,OFFSET(DatasetLinks,0,0,1),0), "Brain structure ", BrainStructureLookup, 2)))</f>
        <v/>
      </c>
      <c r="DM51" s="2" t="str">
        <f ca="1">IF(DM$41="","",TEXTJOINARRAY("|",TRUE,FINDLINKS(DatasetLinks,MATCH("Dataset "&amp;MINDS!DM$55,OFFSET(DatasetLinks,0,0,1),0), "Brain structure ", BrainStructureLookup, 2)))</f>
        <v/>
      </c>
      <c r="DN51" s="2" t="str">
        <f ca="1">IF(DN$41="","",TEXTJOINARRAY("|",TRUE,FINDLINKS(DatasetLinks,MATCH("Dataset "&amp;MINDS!DN$55,OFFSET(DatasetLinks,0,0,1),0), "Brain structure ", BrainStructureLookup, 2)))</f>
        <v/>
      </c>
      <c r="DO51" s="2" t="str">
        <f ca="1">IF(DO$41="","",TEXTJOINARRAY("|",TRUE,FINDLINKS(DatasetLinks,MATCH("Dataset "&amp;MINDS!DO$55,OFFSET(DatasetLinks,0,0,1),0), "Brain structure ", BrainStructureLookup, 2)))</f>
        <v/>
      </c>
      <c r="DP51" s="2" t="str">
        <f ca="1">IF(DP$41="","",TEXTJOINARRAY("|",TRUE,FINDLINKS(DatasetLinks,MATCH("Dataset "&amp;MINDS!DP$55,OFFSET(DatasetLinks,0,0,1),0), "Brain structure ", BrainStructureLookup, 2)))</f>
        <v/>
      </c>
      <c r="DQ51" s="2" t="str">
        <f ca="1">IF(DQ$41="","",TEXTJOINARRAY("|",TRUE,FINDLINKS(DatasetLinks,MATCH("Dataset "&amp;MINDS!DQ$55,OFFSET(DatasetLinks,0,0,1),0), "Brain structure ", BrainStructureLookup, 2)))</f>
        <v/>
      </c>
      <c r="DR51" s="2" t="str">
        <f ca="1">IF(DR$41="","",TEXTJOINARRAY("|",TRUE,FINDLINKS(DatasetLinks,MATCH("Dataset "&amp;MINDS!DR$55,OFFSET(DatasetLinks,0,0,1),0), "Brain structure ", BrainStructureLookup, 2)))</f>
        <v/>
      </c>
      <c r="DS51" s="2" t="str">
        <f ca="1">IF(DS$41="","",TEXTJOINARRAY("|",TRUE,FINDLINKS(DatasetLinks,MATCH("Dataset "&amp;MINDS!DS$55,OFFSET(DatasetLinks,0,0,1),0), "Brain structure ", BrainStructureLookup, 2)))</f>
        <v/>
      </c>
      <c r="DT51" s="2" t="str">
        <f ca="1">IF(DT$41="","",TEXTJOINARRAY("|",TRUE,FINDLINKS(DatasetLinks,MATCH("Dataset "&amp;MINDS!DT$55,OFFSET(DatasetLinks,0,0,1),0), "Brain structure ", BrainStructureLookup, 2)))</f>
        <v/>
      </c>
      <c r="DU51" s="2" t="str">
        <f ca="1">IF(DU$41="","",TEXTJOINARRAY("|",TRUE,FINDLINKS(DatasetLinks,MATCH("Dataset "&amp;MINDS!DU$55,OFFSET(DatasetLinks,0,0,1),0), "Brain structure ", BrainStructureLookup, 2)))</f>
        <v/>
      </c>
      <c r="DV51" s="2" t="str">
        <f ca="1">IF(DV$41="","",TEXTJOINARRAY("|",TRUE,FINDLINKS(DatasetLinks,MATCH("Dataset "&amp;MINDS!DV$55,OFFSET(DatasetLinks,0,0,1),0), "Brain structure ", BrainStructureLookup, 2)))</f>
        <v/>
      </c>
      <c r="DW51" s="2" t="str">
        <f ca="1">IF(DW$41="","",TEXTJOINARRAY("|",TRUE,FINDLINKS(DatasetLinks,MATCH("Dataset "&amp;MINDS!DW$55,OFFSET(DatasetLinks,0,0,1),0), "Brain structure ", BrainStructureLookup, 2)))</f>
        <v/>
      </c>
      <c r="DX51" s="2" t="str">
        <f ca="1">IF(DX$41="","",TEXTJOINARRAY("|",TRUE,FINDLINKS(DatasetLinks,MATCH("Dataset "&amp;MINDS!DX$55,OFFSET(DatasetLinks,0,0,1),0), "Brain structure ", BrainStructureLookup, 2)))</f>
        <v/>
      </c>
      <c r="DY51" s="2" t="str">
        <f ca="1">IF(DY$41="","",TEXTJOINARRAY("|",TRUE,FINDLINKS(DatasetLinks,MATCH("Dataset "&amp;MINDS!DY$55,OFFSET(DatasetLinks,0,0,1),0), "Brain structure ", BrainStructureLookup, 2)))</f>
        <v/>
      </c>
      <c r="DZ51" s="2" t="str">
        <f ca="1">IF(DZ$41="","",TEXTJOINARRAY("|",TRUE,FINDLINKS(DatasetLinks,MATCH("Dataset "&amp;MINDS!DZ$55,OFFSET(DatasetLinks,0,0,1),0), "Brain structure ", BrainStructureLookup, 2)))</f>
        <v/>
      </c>
      <c r="EA51" s="2" t="str">
        <f ca="1">IF(EA$41="","",TEXTJOINARRAY("|",TRUE,FINDLINKS(DatasetLinks,MATCH("Dataset "&amp;MINDS!EA$55,OFFSET(DatasetLinks,0,0,1),0), "Brain structure ", BrainStructureLookup, 2)))</f>
        <v/>
      </c>
      <c r="EB51" s="2" t="str">
        <f ca="1">IF(EB$41="","",TEXTJOINARRAY("|",TRUE,FINDLINKS(DatasetLinks,MATCH("Dataset "&amp;MINDS!EB$55,OFFSET(DatasetLinks,0,0,1),0), "Brain structure ", BrainStructureLookup, 2)))</f>
        <v/>
      </c>
      <c r="EC51" s="2" t="str">
        <f ca="1">IF(EC$41="","",TEXTJOINARRAY("|",TRUE,FINDLINKS(DatasetLinks,MATCH("Dataset "&amp;MINDS!EC$55,OFFSET(DatasetLinks,0,0,1),0), "Brain structure ", BrainStructureLookup, 2)))</f>
        <v/>
      </c>
      <c r="ED51" s="2" t="str">
        <f ca="1">IF(ED$41="","",TEXTJOINARRAY("|",TRUE,FINDLINKS(DatasetLinks,MATCH("Dataset "&amp;MINDS!ED$55,OFFSET(DatasetLinks,0,0,1),0), "Brain structure ", BrainStructureLookup, 2)))</f>
        <v/>
      </c>
      <c r="EE51" s="2" t="str">
        <f ca="1">IF(EE$41="","",TEXTJOINARRAY("|",TRUE,FINDLINKS(DatasetLinks,MATCH("Dataset "&amp;MINDS!EE$55,OFFSET(DatasetLinks,0,0,1),0), "Brain structure ", BrainStructureLookup, 2)))</f>
        <v/>
      </c>
      <c r="EF51" s="2" t="str">
        <f ca="1">IF(EF$41="","",TEXTJOINARRAY("|",TRUE,FINDLINKS(DatasetLinks,MATCH("Dataset "&amp;MINDS!EF$55,OFFSET(DatasetLinks,0,0,1),0), "Brain structure ", BrainStructureLookup, 2)))</f>
        <v/>
      </c>
      <c r="EG51" s="2" t="str">
        <f ca="1">IF(EG$41="","",TEXTJOINARRAY("|",TRUE,FINDLINKS(DatasetLinks,MATCH("Dataset "&amp;MINDS!EG$55,OFFSET(DatasetLinks,0,0,1),0), "Brain structure ", BrainStructureLookup, 2)))</f>
        <v/>
      </c>
      <c r="EH51" s="2" t="str">
        <f ca="1">IF(EH$41="","",TEXTJOINARRAY("|",TRUE,FINDLINKS(DatasetLinks,MATCH("Dataset "&amp;MINDS!EH$55,OFFSET(DatasetLinks,0,0,1),0), "Brain structure ", BrainStructureLookup, 2)))</f>
        <v/>
      </c>
      <c r="EI51" s="2" t="str">
        <f ca="1">IF(EI$41="","",TEXTJOINARRAY("|",TRUE,FINDLINKS(DatasetLinks,MATCH("Dataset "&amp;MINDS!EI$55,OFFSET(DatasetLinks,0,0,1),0), "Brain structure ", BrainStructureLookup, 2)))</f>
        <v/>
      </c>
      <c r="EJ51" s="2" t="str">
        <f ca="1">IF(EJ$41="","",TEXTJOINARRAY("|",TRUE,FINDLINKS(DatasetLinks,MATCH("Dataset "&amp;MINDS!EJ$55,OFFSET(DatasetLinks,0,0,1),0), "Brain structure ", BrainStructureLookup, 2)))</f>
        <v/>
      </c>
      <c r="EK51" s="2" t="str">
        <f ca="1">IF(EK$41="","",TEXTJOINARRAY("|",TRUE,FINDLINKS(DatasetLinks,MATCH("Dataset "&amp;MINDS!EK$55,OFFSET(DatasetLinks,0,0,1),0), "Brain structure ", BrainStructureLookup, 2)))</f>
        <v/>
      </c>
      <c r="EL51" s="2" t="str">
        <f ca="1">IF(EL$41="","",TEXTJOINARRAY("|",TRUE,FINDLINKS(DatasetLinks,MATCH("Dataset "&amp;MINDS!EL$55,OFFSET(DatasetLinks,0,0,1),0), "Brain structure ", BrainStructureLookup, 2)))</f>
        <v/>
      </c>
      <c r="EM51" s="2" t="str">
        <f ca="1">IF(EM$41="","",TEXTJOINARRAY("|",TRUE,FINDLINKS(DatasetLinks,MATCH("Dataset "&amp;MINDS!EM$55,OFFSET(DatasetLinks,0,0,1),0), "Brain structure ", BrainStructureLookup, 2)))</f>
        <v/>
      </c>
      <c r="EN51" s="2" t="str">
        <f ca="1">IF(EN$41="","",TEXTJOINARRAY("|",TRUE,FINDLINKS(DatasetLinks,MATCH("Dataset "&amp;MINDS!EN$55,OFFSET(DatasetLinks,0,0,1),0), "Brain structure ", BrainStructureLookup, 2)))</f>
        <v/>
      </c>
      <c r="EO51" s="2" t="str">
        <f ca="1">IF(EO$41="","",TEXTJOINARRAY("|",TRUE,FINDLINKS(DatasetLinks,MATCH("Dataset "&amp;MINDS!EO$55,OFFSET(DatasetLinks,0,0,1),0), "Brain structure ", BrainStructureLookup, 2)))</f>
        <v/>
      </c>
      <c r="EP51" s="2" t="str">
        <f ca="1">IF(EP$41="","",TEXTJOINARRAY("|",TRUE,FINDLINKS(DatasetLinks,MATCH("Dataset "&amp;MINDS!EP$55,OFFSET(DatasetLinks,0,0,1),0), "Brain structure ", BrainStructureLookup, 2)))</f>
        <v/>
      </c>
      <c r="EQ51" s="2" t="str">
        <f ca="1">IF(EQ$41="","",TEXTJOINARRAY("|",TRUE,FINDLINKS(DatasetLinks,MATCH("Dataset "&amp;MINDS!EQ$55,OFFSET(DatasetLinks,0,0,1),0), "Brain structure ", BrainStructureLookup, 2)))</f>
        <v/>
      </c>
      <c r="ER51" s="2" t="str">
        <f ca="1">IF(ER$41="","",TEXTJOINARRAY("|",TRUE,FINDLINKS(DatasetLinks,MATCH("Dataset "&amp;MINDS!ER$55,OFFSET(DatasetLinks,0,0,1),0), "Brain structure ", BrainStructureLookup, 2)))</f>
        <v/>
      </c>
      <c r="ES51" s="2" t="str">
        <f ca="1">IF(ES$41="","",TEXTJOINARRAY("|",TRUE,FINDLINKS(DatasetLinks,MATCH("Dataset "&amp;MINDS!ES$55,OFFSET(DatasetLinks,0,0,1),0), "Brain structure ", BrainStructureLookup, 2)))</f>
        <v/>
      </c>
      <c r="ET51" s="2" t="str">
        <f ca="1">IF(ET$41="","",TEXTJOINARRAY("|",TRUE,FINDLINKS(DatasetLinks,MATCH("Dataset "&amp;MINDS!ET$55,OFFSET(DatasetLinks,0,0,1),0), "Brain structure ", BrainStructureLookup, 2)))</f>
        <v/>
      </c>
      <c r="EU51" s="2" t="str">
        <f ca="1">IF(EU$41="","",TEXTJOINARRAY("|",TRUE,FINDLINKS(DatasetLinks,MATCH("Dataset "&amp;MINDS!EU$55,OFFSET(DatasetLinks,0,0,1),0), "Brain structure ", BrainStructureLookup, 2)))</f>
        <v/>
      </c>
      <c r="EV51" s="2" t="str">
        <f ca="1">IF(EV$41="","",TEXTJOINARRAY("|",TRUE,FINDLINKS(DatasetLinks,MATCH("Dataset "&amp;MINDS!EV$55,OFFSET(DatasetLinks,0,0,1),0), "Brain structure ", BrainStructureLookup, 2)))</f>
        <v/>
      </c>
      <c r="EW51" s="2" t="str">
        <f ca="1">IF(EW$41="","",TEXTJOINARRAY("|",TRUE,FINDLINKS(DatasetLinks,MATCH("Dataset "&amp;MINDS!EW$55,OFFSET(DatasetLinks,0,0,1),0), "Brain structure ", BrainStructureLookup, 2)))</f>
        <v/>
      </c>
      <c r="EX51" s="2" t="str">
        <f ca="1">IF(EX$41="","",TEXTJOINARRAY("|",TRUE,FINDLINKS(DatasetLinks,MATCH("Dataset "&amp;MINDS!EX$55,OFFSET(DatasetLinks,0,0,1),0), "Brain structure ", BrainStructureLookup, 2)))</f>
        <v/>
      </c>
      <c r="EY51" s="2" t="str">
        <f ca="1">IF(EY$41="","",TEXTJOINARRAY("|",TRUE,FINDLINKS(DatasetLinks,MATCH("Dataset "&amp;MINDS!EY$55,OFFSET(DatasetLinks,0,0,1),0), "Brain structure ", BrainStructureLookup, 2)))</f>
        <v/>
      </c>
      <c r="EZ51" s="2" t="str">
        <f ca="1">IF(EZ$41="","",TEXTJOINARRAY("|",TRUE,FINDLINKS(DatasetLinks,MATCH("Dataset "&amp;MINDS!EZ$55,OFFSET(DatasetLinks,0,0,1),0), "Brain structure ", BrainStructureLookup, 2)))</f>
        <v/>
      </c>
      <c r="FA51" s="2" t="str">
        <f ca="1">IF(FA$41="","",TEXTJOINARRAY("|",TRUE,FINDLINKS(DatasetLinks,MATCH("Dataset "&amp;MINDS!FA$55,OFFSET(DatasetLinks,0,0,1),0), "Brain structure ", BrainStructureLookup, 2)))</f>
        <v/>
      </c>
      <c r="FB51" s="2" t="str">
        <f ca="1">IF(FB$41="","",TEXTJOINARRAY("|",TRUE,FINDLINKS(DatasetLinks,MATCH("Dataset "&amp;MINDS!FB$55,OFFSET(DatasetLinks,0,0,1),0), "Brain structure ", BrainStructureLookup, 2)))</f>
        <v/>
      </c>
      <c r="FC51" s="2" t="str">
        <f ca="1">IF(FC$41="","",TEXTJOINARRAY("|",TRUE,FINDLINKS(DatasetLinks,MATCH("Dataset "&amp;MINDS!FC$55,OFFSET(DatasetLinks,0,0,1),0), "Brain structure ", BrainStructureLookup, 2)))</f>
        <v/>
      </c>
      <c r="FD51" s="2" t="str">
        <f ca="1">IF(FD$41="","",TEXTJOINARRAY("|",TRUE,FINDLINKS(DatasetLinks,MATCH("Dataset "&amp;MINDS!FD$55,OFFSET(DatasetLinks,0,0,1),0), "Brain structure ", BrainStructureLookup, 2)))</f>
        <v/>
      </c>
      <c r="FE51" s="2" t="str">
        <f ca="1">IF(FE$41="","",TEXTJOINARRAY("|",TRUE,FINDLINKS(DatasetLinks,MATCH("Dataset "&amp;MINDS!FE$55,OFFSET(DatasetLinks,0,0,1),0), "Brain structure ", BrainStructureLookup, 2)))</f>
        <v/>
      </c>
      <c r="FF51" s="2" t="str">
        <f ca="1">IF(FF$41="","",TEXTJOINARRAY("|",TRUE,FINDLINKS(DatasetLinks,MATCH("Dataset "&amp;MINDS!FF$55,OFFSET(DatasetLinks,0,0,1),0), "Brain structure ", BrainStructureLookup, 2)))</f>
        <v/>
      </c>
      <c r="FG51" s="2" t="str">
        <f ca="1">IF(FG$41="","",TEXTJOINARRAY("|",TRUE,FINDLINKS(DatasetLinks,MATCH("Dataset "&amp;MINDS!FG$55,OFFSET(DatasetLinks,0,0,1),0), "Brain structure ", BrainStructureLookup, 2)))</f>
        <v/>
      </c>
      <c r="FH51" s="2" t="str">
        <f ca="1">IF(FH$41="","",TEXTJOINARRAY("|",TRUE,FINDLINKS(DatasetLinks,MATCH("Dataset "&amp;MINDS!FH$55,OFFSET(DatasetLinks,0,0,1),0), "Brain structure ", BrainStructureLookup, 2)))</f>
        <v/>
      </c>
      <c r="FI51" s="2" t="str">
        <f ca="1">IF(FI$41="","",TEXTJOINARRAY("|",TRUE,FINDLINKS(DatasetLinks,MATCH("Dataset "&amp;MINDS!FI$55,OFFSET(DatasetLinks,0,0,1),0), "Brain structure ", BrainStructureLookup, 2)))</f>
        <v/>
      </c>
      <c r="FJ51" s="2" t="str">
        <f ca="1">IF(FJ$41="","",TEXTJOINARRAY("|",TRUE,FINDLINKS(DatasetLinks,MATCH("Dataset "&amp;MINDS!FJ$55,OFFSET(DatasetLinks,0,0,1),0), "Brain structure ", BrainStructureLookup, 2)))</f>
        <v/>
      </c>
      <c r="FK51" s="2" t="str">
        <f ca="1">IF(FK$41="","",TEXTJOINARRAY("|",TRUE,FINDLINKS(DatasetLinks,MATCH("Dataset "&amp;MINDS!FK$55,OFFSET(DatasetLinks,0,0,1),0), "Brain structure ", BrainStructureLookup, 2)))</f>
        <v/>
      </c>
      <c r="FL51" s="2" t="str">
        <f ca="1">IF(FL$41="","",TEXTJOINARRAY("|",TRUE,FINDLINKS(DatasetLinks,MATCH("Dataset "&amp;MINDS!FL$55,OFFSET(DatasetLinks,0,0,1),0), "Brain structure ", BrainStructureLookup, 2)))</f>
        <v/>
      </c>
      <c r="FM51" s="2" t="str">
        <f ca="1">IF(FM$41="","",TEXTJOINARRAY("|",TRUE,FINDLINKS(DatasetLinks,MATCH("Dataset "&amp;MINDS!FM$55,OFFSET(DatasetLinks,0,0,1),0), "Brain structure ", BrainStructureLookup, 2)))</f>
        <v/>
      </c>
      <c r="FN51" s="2" t="str">
        <f ca="1">IF(FN$41="","",TEXTJOINARRAY("|",TRUE,FINDLINKS(DatasetLinks,MATCH("Dataset "&amp;MINDS!FN$55,OFFSET(DatasetLinks,0,0,1),0), "Brain structure ", BrainStructureLookup, 2)))</f>
        <v/>
      </c>
      <c r="FO51" s="2" t="str">
        <f ca="1">IF(FO$41="","",TEXTJOINARRAY("|",TRUE,FINDLINKS(DatasetLinks,MATCH("Dataset "&amp;MINDS!FO$55,OFFSET(DatasetLinks,0,0,1),0), "Brain structure ", BrainStructureLookup, 2)))</f>
        <v/>
      </c>
      <c r="FP51" s="2" t="str">
        <f ca="1">IF(FP$41="","",TEXTJOINARRAY("|",TRUE,FINDLINKS(DatasetLinks,MATCH("Dataset "&amp;MINDS!FP$55,OFFSET(DatasetLinks,0,0,1),0), "Brain structure ", BrainStructureLookup, 2)))</f>
        <v/>
      </c>
      <c r="FQ51" s="2" t="str">
        <f ca="1">IF(FQ$41="","",TEXTJOINARRAY("|",TRUE,FINDLINKS(DatasetLinks,MATCH("Dataset "&amp;MINDS!FQ$55,OFFSET(DatasetLinks,0,0,1),0), "Brain structure ", BrainStructureLookup, 2)))</f>
        <v/>
      </c>
      <c r="FR51" s="2" t="str">
        <f ca="1">IF(FR$41="","",TEXTJOINARRAY("|",TRUE,FINDLINKS(DatasetLinks,MATCH("Dataset "&amp;MINDS!FR$55,OFFSET(DatasetLinks,0,0,1),0), "Brain structure ", BrainStructureLookup, 2)))</f>
        <v/>
      </c>
      <c r="FS51" s="2" t="str">
        <f ca="1">IF(FS$41="","",TEXTJOINARRAY("|",TRUE,FINDLINKS(DatasetLinks,MATCH("Dataset "&amp;MINDS!FS$55,OFFSET(DatasetLinks,0,0,1),0), "Brain structure ", BrainStructureLookup, 2)))</f>
        <v/>
      </c>
      <c r="FT51" s="2" t="str">
        <f ca="1">IF(FT$41="","",TEXTJOINARRAY("|",TRUE,FINDLINKS(DatasetLinks,MATCH("Dataset "&amp;MINDS!FT$55,OFFSET(DatasetLinks,0,0,1),0), "Brain structure ", BrainStructureLookup, 2)))</f>
        <v/>
      </c>
      <c r="FU51" s="2" t="str">
        <f ca="1">IF(FU$41="","",TEXTJOINARRAY("|",TRUE,FINDLINKS(DatasetLinks,MATCH("Dataset "&amp;MINDS!FU$55,OFFSET(DatasetLinks,0,0,1),0), "Brain structure ", BrainStructureLookup, 2)))</f>
        <v/>
      </c>
      <c r="FV51" s="2" t="str">
        <f ca="1">IF(FV$41="","",TEXTJOINARRAY("|",TRUE,FINDLINKS(DatasetLinks,MATCH("Dataset "&amp;MINDS!FV$55,OFFSET(DatasetLinks,0,0,1),0), "Brain structure ", BrainStructureLookup, 2)))</f>
        <v/>
      </c>
      <c r="FW51" s="2" t="str">
        <f ca="1">IF(FW$41="","",TEXTJOINARRAY("|",TRUE,FINDLINKS(DatasetLinks,MATCH("Dataset "&amp;MINDS!FW$55,OFFSET(DatasetLinks,0,0,1),0), "Brain structure ", BrainStructureLookup, 2)))</f>
        <v/>
      </c>
      <c r="FX51" s="2" t="str">
        <f ca="1">IF(FX$41="","",TEXTJOINARRAY("|",TRUE,FINDLINKS(DatasetLinks,MATCH("Dataset "&amp;MINDS!FX$55,OFFSET(DatasetLinks,0,0,1),0), "Brain structure ", BrainStructureLookup, 2)))</f>
        <v/>
      </c>
      <c r="FY51" s="2" t="str">
        <f ca="1">IF(FY$41="","",TEXTJOINARRAY("|",TRUE,FINDLINKS(DatasetLinks,MATCH("Dataset "&amp;MINDS!FY$55,OFFSET(DatasetLinks,0,0,1),0), "Brain structure ", BrainStructureLookup, 2)))</f>
        <v/>
      </c>
      <c r="FZ51" s="2" t="str">
        <f ca="1">IF(FZ$41="","",TEXTJOINARRAY("|",TRUE,FINDLINKS(DatasetLinks,MATCH("Dataset "&amp;MINDS!FZ$55,OFFSET(DatasetLinks,0,0,1),0), "Brain structure ", BrainStructureLookup, 2)))</f>
        <v/>
      </c>
      <c r="GA51" s="2" t="str">
        <f ca="1">IF(GA$41="","",TEXTJOINARRAY("|",TRUE,FINDLINKS(DatasetLinks,MATCH("Dataset "&amp;MINDS!GA$55,OFFSET(DatasetLinks,0,0,1),0), "Brain structure ", BrainStructureLookup, 2)))</f>
        <v/>
      </c>
      <c r="GB51" s="2" t="str">
        <f ca="1">IF(GB$41="","",TEXTJOINARRAY("|",TRUE,FINDLINKS(DatasetLinks,MATCH("Dataset "&amp;MINDS!GB$55,OFFSET(DatasetLinks,0,0,1),0), "Brain structure ", BrainStructureLookup, 2)))</f>
        <v/>
      </c>
      <c r="GC51" s="2" t="str">
        <f ca="1">IF(GC$41="","",TEXTJOINARRAY("|",TRUE,FINDLINKS(DatasetLinks,MATCH("Dataset "&amp;MINDS!GC$55,OFFSET(DatasetLinks,0,0,1),0), "Brain structure ", BrainStructureLookup, 2)))</f>
        <v/>
      </c>
      <c r="GD51" s="2" t="str">
        <f ca="1">IF(GD$41="","",TEXTJOINARRAY("|",TRUE,FINDLINKS(DatasetLinks,MATCH("Dataset "&amp;MINDS!GD$55,OFFSET(DatasetLinks,0,0,1),0), "Brain structure ", BrainStructureLookup, 2)))</f>
        <v/>
      </c>
      <c r="GE51" s="2" t="str">
        <f ca="1">IF(GE$41="","",TEXTJOINARRAY("|",TRUE,FINDLINKS(DatasetLinks,MATCH("Dataset "&amp;MINDS!GE$55,OFFSET(DatasetLinks,0,0,1),0), "Brain structure ", BrainStructureLookup, 2)))</f>
        <v/>
      </c>
      <c r="GF51" s="2" t="str">
        <f ca="1">IF(GF$41="","",TEXTJOINARRAY("|",TRUE,FINDLINKS(DatasetLinks,MATCH("Dataset "&amp;MINDS!GF$55,OFFSET(DatasetLinks,0,0,1),0), "Brain structure ", BrainStructureLookup, 2)))</f>
        <v/>
      </c>
      <c r="GG51" s="2" t="str">
        <f ca="1">IF(GG$41="","",TEXTJOINARRAY("|",TRUE,FINDLINKS(DatasetLinks,MATCH("Dataset "&amp;MINDS!GG$55,OFFSET(DatasetLinks,0,0,1),0), "Brain structure ", BrainStructureLookup, 2)))</f>
        <v/>
      </c>
      <c r="GH51" s="2" t="str">
        <f ca="1">IF(GH$41="","",TEXTJOINARRAY("|",TRUE,FINDLINKS(DatasetLinks,MATCH("Dataset "&amp;MINDS!GH$55,OFFSET(DatasetLinks,0,0,1),0), "Brain structure ", BrainStructureLookup, 2)))</f>
        <v/>
      </c>
      <c r="GI51" s="2" t="str">
        <f ca="1">IF(GI$41="","",TEXTJOINARRAY("|",TRUE,FINDLINKS(DatasetLinks,MATCH("Dataset "&amp;MINDS!GI$55,OFFSET(DatasetLinks,0,0,1),0), "Brain structure ", BrainStructureLookup, 2)))</f>
        <v/>
      </c>
      <c r="GJ51" s="2" t="str">
        <f ca="1">IF(GJ$41="","",TEXTJOINARRAY("|",TRUE,FINDLINKS(DatasetLinks,MATCH("Dataset "&amp;MINDS!GJ$55,OFFSET(DatasetLinks,0,0,1),0), "Brain structure ", BrainStructureLookup, 2)))</f>
        <v/>
      </c>
      <c r="GK51" s="2" t="str">
        <f ca="1">IF(GK$41="","",TEXTJOINARRAY("|",TRUE,FINDLINKS(DatasetLinks,MATCH("Dataset "&amp;MINDS!GK$55,OFFSET(DatasetLinks,0,0,1),0), "Brain structure ", BrainStructureLookup, 2)))</f>
        <v/>
      </c>
      <c r="GL51" s="2" t="str">
        <f ca="1">IF(GL$41="","",TEXTJOINARRAY("|",TRUE,FINDLINKS(DatasetLinks,MATCH("Dataset "&amp;MINDS!GL$55,OFFSET(DatasetLinks,0,0,1),0), "Brain structure ", BrainStructureLookup, 2)))</f>
        <v/>
      </c>
      <c r="GM51" s="2" t="str">
        <f ca="1">IF(GM$41="","",TEXTJOINARRAY("|",TRUE,FINDLINKS(DatasetLinks,MATCH("Dataset "&amp;MINDS!GM$55,OFFSET(DatasetLinks,0,0,1),0), "Brain structure ", BrainStructureLookup, 2)))</f>
        <v/>
      </c>
      <c r="GN51" s="2" t="str">
        <f ca="1">IF(GN$41="","",TEXTJOINARRAY("|",TRUE,FINDLINKS(DatasetLinks,MATCH("Dataset "&amp;MINDS!GN$55,OFFSET(DatasetLinks,0,0,1),0), "Brain structure ", BrainStructureLookup, 2)))</f>
        <v/>
      </c>
      <c r="GO51" s="2" t="str">
        <f ca="1">IF(GO$41="","",TEXTJOINARRAY("|",TRUE,FINDLINKS(DatasetLinks,MATCH("Dataset "&amp;MINDS!GO$55,OFFSET(DatasetLinks,0,0,1),0), "Brain structure ", BrainStructureLookup, 2)))</f>
        <v/>
      </c>
      <c r="GP51" s="2" t="str">
        <f ca="1">IF(GP$41="","",TEXTJOINARRAY("|",TRUE,FINDLINKS(DatasetLinks,MATCH("Dataset "&amp;MINDS!GP$55,OFFSET(DatasetLinks,0,0,1),0), "Brain structure ", BrainStructureLookup, 2)))</f>
        <v/>
      </c>
      <c r="GQ51" s="2" t="str">
        <f ca="1">IF(GQ$41="","",TEXTJOINARRAY("|",TRUE,FINDLINKS(DatasetLinks,MATCH("Dataset "&amp;MINDS!GQ$55,OFFSET(DatasetLinks,0,0,1),0), "Brain structure ", BrainStructureLookup, 2)))</f>
        <v/>
      </c>
      <c r="GR51" s="2" t="str">
        <f ca="1">IF(GR$41="","",TEXTJOINARRAY("|",TRUE,FINDLINKS(DatasetLinks,MATCH("Dataset "&amp;MINDS!GR$55,OFFSET(DatasetLinks,0,0,1),0), "Brain structure ", BrainStructureLookup, 2)))</f>
        <v/>
      </c>
      <c r="GS51" s="2" t="str">
        <f ca="1">IF(GS$41="","",TEXTJOINARRAY("|",TRUE,FINDLINKS(DatasetLinks,MATCH("Dataset "&amp;MINDS!GS$55,OFFSET(DatasetLinks,0,0,1),0), "Brain structure ", BrainStructureLookup, 2)))</f>
        <v/>
      </c>
      <c r="GT51" s="2" t="str">
        <f ca="1">IF(GT$41="","",TEXTJOINARRAY("|",TRUE,FINDLINKS(DatasetLinks,MATCH("Dataset "&amp;MINDS!GT$55,OFFSET(DatasetLinks,0,0,1),0), "Brain structure ", BrainStructureLookup, 2)))</f>
        <v/>
      </c>
      <c r="GU51" s="2" t="str">
        <f ca="1">IF(GU$41="","",TEXTJOINARRAY("|",TRUE,FINDLINKS(DatasetLinks,MATCH("Dataset "&amp;MINDS!GU$55,OFFSET(DatasetLinks,0,0,1),0), "Brain structure ", BrainStructureLookup, 2)))</f>
        <v/>
      </c>
      <c r="GV51" s="2" t="str">
        <f ca="1">IF(GV$41="","",TEXTJOINARRAY("|",TRUE,FINDLINKS(DatasetLinks,MATCH("Dataset "&amp;MINDS!GV$55,OFFSET(DatasetLinks,0,0,1),0), "Brain structure ", BrainStructureLookup, 2)))</f>
        <v/>
      </c>
      <c r="GW51" s="2" t="str">
        <f ca="1">IF(GW$41="","",TEXTJOINARRAY("|",TRUE,FINDLINKS(DatasetLinks,MATCH("Dataset "&amp;MINDS!GW$55,OFFSET(DatasetLinks,0,0,1),0), "Brain structure ", BrainStructureLookup, 2)))</f>
        <v/>
      </c>
      <c r="GX51" s="2" t="str">
        <f ca="1">IF(GX$41="","",TEXTJOINARRAY("|",TRUE,FINDLINKS(DatasetLinks,MATCH("Dataset "&amp;MINDS!GX$55,OFFSET(DatasetLinks,0,0,1),0), "Brain structure ", BrainStructureLookup, 2)))</f>
        <v/>
      </c>
      <c r="GY51" s="2" t="str">
        <f ca="1">IF(GY$41="","",TEXTJOINARRAY("|",TRUE,FINDLINKS(DatasetLinks,MATCH("Dataset "&amp;MINDS!GY$55,OFFSET(DatasetLinks,0,0,1),0), "Brain structure ", BrainStructureLookup, 2)))</f>
        <v/>
      </c>
      <c r="GZ51" s="2" t="str">
        <f ca="1">IF(GZ$41="","",TEXTJOINARRAY("|",TRUE,FINDLINKS(DatasetLinks,MATCH("Dataset "&amp;MINDS!GZ$55,OFFSET(DatasetLinks,0,0,1),0), "Brain structure ", BrainStructureLookup, 2)))</f>
        <v/>
      </c>
      <c r="HA51" s="2" t="str">
        <f ca="1">IF(HA$41="","",TEXTJOINARRAY("|",TRUE,FINDLINKS(DatasetLinks,MATCH("Dataset "&amp;MINDS!HA$55,OFFSET(DatasetLinks,0,0,1),0), "Brain structure ", BrainStructureLookup, 2)))</f>
        <v/>
      </c>
      <c r="HB51" s="2" t="str">
        <f ca="1">IF(HB$41="","",TEXTJOINARRAY("|",TRUE,FINDLINKS(DatasetLinks,MATCH("Dataset "&amp;MINDS!HB$55,OFFSET(DatasetLinks,0,0,1),0), "Brain structure ", BrainStructureLookup, 2)))</f>
        <v/>
      </c>
      <c r="HC51" s="2" t="str">
        <f ca="1">IF(HC$41="","",TEXTJOINARRAY("|",TRUE,FINDLINKS(DatasetLinks,MATCH("Dataset "&amp;MINDS!HC$55,OFFSET(DatasetLinks,0,0,1),0), "Brain structure ", BrainStructureLookup, 2)))</f>
        <v/>
      </c>
      <c r="HD51" s="2" t="str">
        <f ca="1">IF(HD$41="","",TEXTJOINARRAY("|",TRUE,FINDLINKS(DatasetLinks,MATCH("Dataset "&amp;MINDS!HD$55,OFFSET(DatasetLinks,0,0,1),0), "Brain structure ", BrainStructureLookup, 2)))</f>
        <v/>
      </c>
      <c r="HE51" s="2" t="str">
        <f ca="1">IF(HE$41="","",TEXTJOINARRAY("|",TRUE,FINDLINKS(DatasetLinks,MATCH("Dataset "&amp;MINDS!HE$55,OFFSET(DatasetLinks,0,0,1),0), "Brain structure ", BrainStructureLookup, 2)))</f>
        <v/>
      </c>
      <c r="HF51" s="2" t="str">
        <f ca="1">IF(HF$41="","",TEXTJOINARRAY("|",TRUE,FINDLINKS(DatasetLinks,MATCH("Dataset "&amp;MINDS!HF$55,OFFSET(DatasetLinks,0,0,1),0), "Brain structure ", BrainStructureLookup, 2)))</f>
        <v/>
      </c>
      <c r="HG51" s="2" t="str">
        <f ca="1">IF(HG$41="","",TEXTJOINARRAY("|",TRUE,FINDLINKS(DatasetLinks,MATCH("Dataset "&amp;MINDS!HG$55,OFFSET(DatasetLinks,0,0,1),0), "Brain structure ", BrainStructureLookup, 2)))</f>
        <v/>
      </c>
      <c r="HH51" s="2" t="str">
        <f ca="1">IF(HH$41="","",TEXTJOINARRAY("|",TRUE,FINDLINKS(DatasetLinks,MATCH("Dataset "&amp;MINDS!HH$55,OFFSET(DatasetLinks,0,0,1),0), "Brain structure ", BrainStructureLookup, 2)))</f>
        <v/>
      </c>
      <c r="HI51" s="2" t="str">
        <f ca="1">IF(HI$41="","",TEXTJOINARRAY("|",TRUE,FINDLINKS(DatasetLinks,MATCH("Dataset "&amp;MINDS!HI$55,OFFSET(DatasetLinks,0,0,1),0), "Brain structure ", BrainStructureLookup, 2)))</f>
        <v/>
      </c>
      <c r="HJ51" s="2" t="str">
        <f ca="1">IF(HJ$41="","",TEXTJOINARRAY("|",TRUE,FINDLINKS(DatasetLinks,MATCH("Dataset "&amp;MINDS!HJ$55,OFFSET(DatasetLinks,0,0,1),0), "Brain structure ", BrainStructureLookup, 2)))</f>
        <v/>
      </c>
      <c r="HK51" s="2" t="str">
        <f ca="1">IF(HK$41="","",TEXTJOINARRAY("|",TRUE,FINDLINKS(DatasetLinks,MATCH("Dataset "&amp;MINDS!HK$55,OFFSET(DatasetLinks,0,0,1),0), "Brain structure ", BrainStructureLookup, 2)))</f>
        <v/>
      </c>
      <c r="HL51" s="2" t="str">
        <f ca="1">IF(HL$41="","",TEXTJOINARRAY("|",TRUE,FINDLINKS(DatasetLinks,MATCH("Dataset "&amp;MINDS!HL$55,OFFSET(DatasetLinks,0,0,1),0), "Brain structure ", BrainStructureLookup, 2)))</f>
        <v/>
      </c>
      <c r="HM51" s="2" t="str">
        <f ca="1">IF(HM$41="","",TEXTJOINARRAY("|",TRUE,FINDLINKS(DatasetLinks,MATCH("Dataset "&amp;MINDS!HM$55,OFFSET(DatasetLinks,0,0,1),0), "Brain structure ", BrainStructureLookup, 2)))</f>
        <v/>
      </c>
      <c r="HN51" s="2" t="str">
        <f ca="1">IF(HN$41="","",TEXTJOINARRAY("|",TRUE,FINDLINKS(DatasetLinks,MATCH("Dataset "&amp;MINDS!HN$55,OFFSET(DatasetLinks,0,0,1),0), "Brain structure ", BrainStructureLookup, 2)))</f>
        <v/>
      </c>
      <c r="HO51" s="2" t="str">
        <f ca="1">IF(HO$41="","",TEXTJOINARRAY("|",TRUE,FINDLINKS(DatasetLinks,MATCH("Dataset "&amp;MINDS!HO$55,OFFSET(DatasetLinks,0,0,1),0), "Brain structure ", BrainStructureLookup, 2)))</f>
        <v/>
      </c>
      <c r="HP51" s="2" t="str">
        <f ca="1">IF(HP$41="","",TEXTJOINARRAY("|",TRUE,FINDLINKS(DatasetLinks,MATCH("Dataset "&amp;MINDS!HP$55,OFFSET(DatasetLinks,0,0,1),0), "Brain structure ", BrainStructureLookup, 2)))</f>
        <v/>
      </c>
      <c r="HQ51" s="2" t="str">
        <f ca="1">IF(HQ$41="","",TEXTJOINARRAY("|",TRUE,FINDLINKS(DatasetLinks,MATCH("Dataset "&amp;MINDS!HQ$55,OFFSET(DatasetLinks,0,0,1),0), "Brain structure ", BrainStructureLookup, 2)))</f>
        <v/>
      </c>
      <c r="HR51" s="2" t="str">
        <f ca="1">IF(HR$41="","",TEXTJOINARRAY("|",TRUE,FINDLINKS(DatasetLinks,MATCH("Dataset "&amp;MINDS!HR$55,OFFSET(DatasetLinks,0,0,1),0), "Brain structure ", BrainStructureLookup, 2)))</f>
        <v/>
      </c>
      <c r="HS51" s="2" t="str">
        <f ca="1">IF(HS$41="","",TEXTJOINARRAY("|",TRUE,FINDLINKS(DatasetLinks,MATCH("Dataset "&amp;MINDS!HS$55,OFFSET(DatasetLinks,0,0,1),0), "Brain structure ", BrainStructureLookup, 2)))</f>
        <v/>
      </c>
      <c r="HT51" s="2" t="str">
        <f ca="1">IF(HT$41="","",TEXTJOINARRAY("|",TRUE,FINDLINKS(DatasetLinks,MATCH("Dataset "&amp;MINDS!HT$55,OFFSET(DatasetLinks,0,0,1),0), "Brain structure ", BrainStructureLookup, 2)))</f>
        <v/>
      </c>
      <c r="HU51" s="2" t="str">
        <f ca="1">IF(HU$41="","",TEXTJOINARRAY("|",TRUE,FINDLINKS(DatasetLinks,MATCH("Dataset "&amp;MINDS!HU$55,OFFSET(DatasetLinks,0,0,1),0), "Brain structure ", BrainStructureLookup, 2)))</f>
        <v/>
      </c>
      <c r="HV51" s="2" t="str">
        <f ca="1">IF(HV$41="","",TEXTJOINARRAY("|",TRUE,FINDLINKS(DatasetLinks,MATCH("Dataset "&amp;MINDS!HV$55,OFFSET(DatasetLinks,0,0,1),0), "Brain structure ", BrainStructureLookup, 2)))</f>
        <v/>
      </c>
      <c r="HW51" s="2" t="str">
        <f ca="1">IF(HW$41="","",TEXTJOINARRAY("|",TRUE,FINDLINKS(DatasetLinks,MATCH("Dataset "&amp;MINDS!HW$55,OFFSET(DatasetLinks,0,0,1),0), "Brain structure ", BrainStructureLookup, 2)))</f>
        <v/>
      </c>
      <c r="HX51" s="2" t="str">
        <f ca="1">IF(HX$41="","",TEXTJOINARRAY("|",TRUE,FINDLINKS(DatasetLinks,MATCH("Dataset "&amp;MINDS!HX$55,OFFSET(DatasetLinks,0,0,1),0), "Brain structure ", BrainStructureLookup, 2)))</f>
        <v/>
      </c>
      <c r="HY51" s="2" t="str">
        <f ca="1">IF(HY$41="","",TEXTJOINARRAY("|",TRUE,FINDLINKS(DatasetLinks,MATCH("Dataset "&amp;MINDS!HY$55,OFFSET(DatasetLinks,0,0,1),0), "Brain structure ", BrainStructureLookup, 2)))</f>
        <v/>
      </c>
      <c r="HZ51" s="2" t="str">
        <f ca="1">IF(HZ$41="","",TEXTJOINARRAY("|",TRUE,FINDLINKS(DatasetLinks,MATCH("Dataset "&amp;MINDS!HZ$55,OFFSET(DatasetLinks,0,0,1),0), "Brain structure ", BrainStructureLookup, 2)))</f>
        <v/>
      </c>
      <c r="IA51" s="2" t="str">
        <f ca="1">IF(IA$41="","",TEXTJOINARRAY("|",TRUE,FINDLINKS(DatasetLinks,MATCH("Dataset "&amp;MINDS!IA$55,OFFSET(DatasetLinks,0,0,1),0), "Brain structure ", BrainStructureLookup, 2)))</f>
        <v/>
      </c>
      <c r="IB51" s="2" t="str">
        <f ca="1">IF(IB$41="","",TEXTJOINARRAY("|",TRUE,FINDLINKS(DatasetLinks,MATCH("Dataset "&amp;MINDS!IB$55,OFFSET(DatasetLinks,0,0,1),0), "Brain structure ", BrainStructureLookup, 2)))</f>
        <v/>
      </c>
      <c r="IC51" s="2" t="str">
        <f ca="1">IF(IC$41="","",TEXTJOINARRAY("|",TRUE,FINDLINKS(DatasetLinks,MATCH("Dataset "&amp;MINDS!IC$55,OFFSET(DatasetLinks,0,0,1),0), "Brain structure ", BrainStructureLookup, 2)))</f>
        <v/>
      </c>
      <c r="ID51" s="2" t="str">
        <f ca="1">IF(ID$41="","",TEXTJOINARRAY("|",TRUE,FINDLINKS(DatasetLinks,MATCH("Dataset "&amp;MINDS!ID$55,OFFSET(DatasetLinks,0,0,1),0), "Brain structure ", BrainStructureLookup, 2)))</f>
        <v/>
      </c>
      <c r="IE51" s="2" t="str">
        <f ca="1">IF(IE$41="","",TEXTJOINARRAY("|",TRUE,FINDLINKS(DatasetLinks,MATCH("Dataset "&amp;MINDS!IE$55,OFFSET(DatasetLinks,0,0,1),0), "Brain structure ", BrainStructureLookup, 2)))</f>
        <v/>
      </c>
      <c r="IF51" s="2" t="str">
        <f ca="1">IF(IF$41="","",TEXTJOINARRAY("|",TRUE,FINDLINKS(DatasetLinks,MATCH("Dataset "&amp;MINDS!IF$55,OFFSET(DatasetLinks,0,0,1),0), "Brain structure ", BrainStructureLookup, 2)))</f>
        <v/>
      </c>
      <c r="IG51" s="2" t="str">
        <f ca="1">IF(IG$41="","",TEXTJOINARRAY("|",TRUE,FINDLINKS(DatasetLinks,MATCH("Dataset "&amp;MINDS!IG$55,OFFSET(DatasetLinks,0,0,1),0), "Brain structure ", BrainStructureLookup, 2)))</f>
        <v/>
      </c>
      <c r="IH51" s="2" t="str">
        <f ca="1">IF(IH$41="","",TEXTJOINARRAY("|",TRUE,FINDLINKS(DatasetLinks,MATCH("Dataset "&amp;MINDS!IH$55,OFFSET(DatasetLinks,0,0,1),0), "Brain structure ", BrainStructureLookup, 2)))</f>
        <v/>
      </c>
      <c r="II51" s="2" t="str">
        <f ca="1">IF(II$41="","",TEXTJOINARRAY("|",TRUE,FINDLINKS(DatasetLinks,MATCH("Dataset "&amp;MINDS!II$55,OFFSET(DatasetLinks,0,0,1),0), "Brain structure ", BrainStructureLookup, 2)))</f>
        <v/>
      </c>
      <c r="IJ51" s="2" t="str">
        <f ca="1">IF(IJ$41="","",TEXTJOINARRAY("|",TRUE,FINDLINKS(DatasetLinks,MATCH("Dataset "&amp;MINDS!IJ$55,OFFSET(DatasetLinks,0,0,1),0), "Brain structure ", BrainStructureLookup, 2)))</f>
        <v/>
      </c>
      <c r="IK51" s="2" t="str">
        <f ca="1">IF(IK$41="","",TEXTJOINARRAY("|",TRUE,FINDLINKS(DatasetLinks,MATCH("Dataset "&amp;MINDS!IK$55,OFFSET(DatasetLinks,0,0,1),0), "Brain structure ", BrainStructureLookup, 2)))</f>
        <v/>
      </c>
      <c r="IL51" s="2" t="str">
        <f ca="1">IF(IL$41="","",TEXTJOINARRAY("|",TRUE,FINDLINKS(DatasetLinks,MATCH("Dataset "&amp;MINDS!IL$55,OFFSET(DatasetLinks,0,0,1),0), "Brain structure ", BrainStructureLookup, 2)))</f>
        <v/>
      </c>
      <c r="IM51" s="2" t="str">
        <f ca="1">IF(IM$41="","",TEXTJOINARRAY("|",TRUE,FINDLINKS(DatasetLinks,MATCH("Dataset "&amp;MINDS!IM$55,OFFSET(DatasetLinks,0,0,1),0), "Brain structure ", BrainStructureLookup, 2)))</f>
        <v/>
      </c>
      <c r="IN51" s="2" t="str">
        <f ca="1">IF(IN$41="","",TEXTJOINARRAY("|",TRUE,FINDLINKS(DatasetLinks,MATCH("Dataset "&amp;MINDS!IN$55,OFFSET(DatasetLinks,0,0,1),0), "Brain structure ", BrainStructureLookup, 2)))</f>
        <v/>
      </c>
      <c r="IO51" s="2" t="str">
        <f ca="1">IF(IO$41="","",TEXTJOINARRAY("|",TRUE,FINDLINKS(DatasetLinks,MATCH("Dataset "&amp;MINDS!IO$55,OFFSET(DatasetLinks,0,0,1),0), "Brain structure ", BrainStructureLookup, 2)))</f>
        <v/>
      </c>
      <c r="IP51" s="2" t="str">
        <f ca="1">IF(IP$41="","",TEXTJOINARRAY("|",TRUE,FINDLINKS(DatasetLinks,MATCH("Dataset "&amp;MINDS!IP$55,OFFSET(DatasetLinks,0,0,1),0), "Brain structure ", BrainStructureLookup, 2)))</f>
        <v/>
      </c>
      <c r="IQ51" s="2" t="str">
        <f ca="1">IF(IQ$41="","",TEXTJOINARRAY("|",TRUE,FINDLINKS(DatasetLinks,MATCH("Dataset "&amp;MINDS!IQ$55,OFFSET(DatasetLinks,0,0,1),0), "Brain structure ", BrainStructureLookup, 2)))</f>
        <v/>
      </c>
      <c r="IR51" s="2" t="str">
        <f ca="1">IF(IR$41="","",TEXTJOINARRAY("|",TRUE,FINDLINKS(DatasetLinks,MATCH("Dataset "&amp;MINDS!IR$55,OFFSET(DatasetLinks,0,0,1),0), "Brain structure ", BrainStructureLookup, 2)))</f>
        <v/>
      </c>
      <c r="IS51" s="2" t="str">
        <f ca="1">IF(IS$41="","",TEXTJOINARRAY("|",TRUE,FINDLINKS(DatasetLinks,MATCH("Dataset "&amp;MINDS!IS$55,OFFSET(DatasetLinks,0,0,1),0), "Brain structure ", BrainStructureLookup, 2)))</f>
        <v/>
      </c>
      <c r="IT51" s="2" t="str">
        <f ca="1">IF(IT$41="","",TEXTJOINARRAY("|",TRUE,FINDLINKS(DatasetLinks,MATCH("Dataset "&amp;MINDS!IT$55,OFFSET(DatasetLinks,0,0,1),0), "Brain structure ", BrainStructureLookup, 2)))</f>
        <v/>
      </c>
      <c r="IU51" s="2" t="str">
        <f ca="1">IF(IU$41="","",TEXTJOINARRAY("|",TRUE,FINDLINKS(DatasetLinks,MATCH("Dataset "&amp;MINDS!IU$55,OFFSET(DatasetLinks,0,0,1),0), "Brain structure ", BrainStructureLookup, 2)))</f>
        <v/>
      </c>
      <c r="IV51" s="2" t="str">
        <f ca="1">IF(IV$41="","",TEXTJOINARRAY("|",TRUE,FINDLINKS(DatasetLinks,MATCH("Dataset "&amp;MINDS!IV$55,OFFSET(DatasetLinks,0,0,1),0), "Brain structure ", BrainStructureLookup, 2)))</f>
        <v/>
      </c>
    </row>
    <row r="52" spans="1:256" x14ac:dyDescent="0.2">
      <c r="A52" s="3" t="s">
        <v>17</v>
      </c>
      <c r="C52" s="2" t="str">
        <f>IF(C$41="","",$A$60)</f>
        <v/>
      </c>
      <c r="D52" s="2" t="str">
        <f t="shared" ref="D52:BO52" si="8">IF(D$41="","",$A$60)</f>
        <v/>
      </c>
      <c r="E52" s="2" t="str">
        <f t="shared" si="8"/>
        <v/>
      </c>
      <c r="F52" s="2" t="str">
        <f t="shared" si="8"/>
        <v/>
      </c>
      <c r="G52" s="2" t="str">
        <f t="shared" si="8"/>
        <v/>
      </c>
      <c r="H52" s="2" t="str">
        <f t="shared" si="8"/>
        <v/>
      </c>
      <c r="I52" s="2" t="str">
        <f t="shared" si="8"/>
        <v/>
      </c>
      <c r="J52" s="2" t="str">
        <f t="shared" si="8"/>
        <v/>
      </c>
      <c r="K52" s="2" t="str">
        <f t="shared" si="8"/>
        <v/>
      </c>
      <c r="L52" s="2" t="str">
        <f t="shared" si="8"/>
        <v/>
      </c>
      <c r="M52" s="2" t="str">
        <f t="shared" si="8"/>
        <v/>
      </c>
      <c r="N52" s="2" t="str">
        <f t="shared" si="8"/>
        <v/>
      </c>
      <c r="O52" s="2" t="str">
        <f t="shared" si="8"/>
        <v/>
      </c>
      <c r="P52" s="2" t="str">
        <f t="shared" si="8"/>
        <v/>
      </c>
      <c r="Q52" s="2" t="str">
        <f t="shared" si="8"/>
        <v/>
      </c>
      <c r="R52" s="2" t="str">
        <f t="shared" si="8"/>
        <v/>
      </c>
      <c r="S52" s="2" t="str">
        <f t="shared" si="8"/>
        <v/>
      </c>
      <c r="T52" s="2" t="str">
        <f t="shared" si="8"/>
        <v/>
      </c>
      <c r="U52" s="2" t="str">
        <f t="shared" si="8"/>
        <v/>
      </c>
      <c r="V52" s="2" t="str">
        <f t="shared" si="8"/>
        <v/>
      </c>
      <c r="W52" s="2" t="str">
        <f t="shared" si="8"/>
        <v/>
      </c>
      <c r="X52" s="2" t="str">
        <f t="shared" si="8"/>
        <v/>
      </c>
      <c r="Y52" s="2" t="str">
        <f t="shared" si="8"/>
        <v/>
      </c>
      <c r="Z52" s="2" t="str">
        <f t="shared" si="8"/>
        <v/>
      </c>
      <c r="AA52" s="2" t="str">
        <f t="shared" si="8"/>
        <v/>
      </c>
      <c r="AB52" s="2" t="str">
        <f t="shared" si="8"/>
        <v/>
      </c>
      <c r="AC52" s="2" t="str">
        <f t="shared" si="8"/>
        <v/>
      </c>
      <c r="AD52" s="2" t="str">
        <f t="shared" si="8"/>
        <v/>
      </c>
      <c r="AE52" s="2" t="str">
        <f t="shared" si="8"/>
        <v/>
      </c>
      <c r="AF52" s="2" t="str">
        <f t="shared" si="8"/>
        <v/>
      </c>
      <c r="AG52" s="2" t="str">
        <f t="shared" si="8"/>
        <v/>
      </c>
      <c r="AH52" s="2" t="str">
        <f t="shared" si="8"/>
        <v/>
      </c>
      <c r="AI52" s="2" t="str">
        <f t="shared" si="8"/>
        <v/>
      </c>
      <c r="AJ52" s="2" t="str">
        <f t="shared" si="8"/>
        <v/>
      </c>
      <c r="AK52" s="2" t="str">
        <f t="shared" si="8"/>
        <v/>
      </c>
      <c r="AL52" s="2" t="str">
        <f t="shared" si="8"/>
        <v/>
      </c>
      <c r="AM52" s="2" t="str">
        <f t="shared" si="8"/>
        <v/>
      </c>
      <c r="AN52" s="2" t="str">
        <f t="shared" si="8"/>
        <v/>
      </c>
      <c r="AO52" s="2" t="str">
        <f t="shared" si="8"/>
        <v/>
      </c>
      <c r="AP52" s="2" t="str">
        <f t="shared" si="8"/>
        <v/>
      </c>
      <c r="AQ52" s="2" t="str">
        <f t="shared" si="8"/>
        <v/>
      </c>
      <c r="AR52" s="2" t="str">
        <f t="shared" si="8"/>
        <v/>
      </c>
      <c r="AS52" s="2" t="str">
        <f t="shared" si="8"/>
        <v/>
      </c>
      <c r="AT52" s="2" t="str">
        <f t="shared" si="8"/>
        <v/>
      </c>
      <c r="AU52" s="2" t="str">
        <f t="shared" si="8"/>
        <v/>
      </c>
      <c r="AV52" s="2" t="str">
        <f t="shared" si="8"/>
        <v/>
      </c>
      <c r="AW52" s="2" t="str">
        <f t="shared" si="8"/>
        <v/>
      </c>
      <c r="AX52" s="2" t="str">
        <f t="shared" si="8"/>
        <v/>
      </c>
      <c r="AY52" s="2" t="str">
        <f t="shared" si="8"/>
        <v/>
      </c>
      <c r="AZ52" s="2" t="str">
        <f t="shared" si="8"/>
        <v/>
      </c>
      <c r="BA52" s="2" t="str">
        <f t="shared" si="8"/>
        <v/>
      </c>
      <c r="BB52" s="2" t="str">
        <f t="shared" si="8"/>
        <v/>
      </c>
      <c r="BC52" s="2" t="str">
        <f t="shared" si="8"/>
        <v/>
      </c>
      <c r="BD52" s="2" t="str">
        <f t="shared" si="8"/>
        <v/>
      </c>
      <c r="BE52" s="2" t="str">
        <f t="shared" si="8"/>
        <v/>
      </c>
      <c r="BF52" s="2" t="str">
        <f t="shared" si="8"/>
        <v/>
      </c>
      <c r="BG52" s="2" t="str">
        <f t="shared" si="8"/>
        <v/>
      </c>
      <c r="BH52" s="2" t="str">
        <f t="shared" si="8"/>
        <v/>
      </c>
      <c r="BI52" s="2" t="str">
        <f t="shared" si="8"/>
        <v/>
      </c>
      <c r="BJ52" s="2" t="str">
        <f t="shared" si="8"/>
        <v/>
      </c>
      <c r="BK52" s="2" t="str">
        <f t="shared" si="8"/>
        <v/>
      </c>
      <c r="BL52" s="2" t="str">
        <f t="shared" si="8"/>
        <v/>
      </c>
      <c r="BM52" s="2" t="str">
        <f t="shared" si="8"/>
        <v/>
      </c>
      <c r="BN52" s="2" t="str">
        <f t="shared" si="8"/>
        <v/>
      </c>
      <c r="BO52" s="2" t="str">
        <f t="shared" si="8"/>
        <v/>
      </c>
      <c r="BP52" s="2" t="str">
        <f t="shared" ref="BP52:EA52" si="9">IF(BP$41="","",$A$60)</f>
        <v/>
      </c>
      <c r="BQ52" s="2" t="str">
        <f t="shared" si="9"/>
        <v/>
      </c>
      <c r="BR52" s="2" t="str">
        <f t="shared" si="9"/>
        <v/>
      </c>
      <c r="BS52" s="2" t="str">
        <f t="shared" si="9"/>
        <v/>
      </c>
      <c r="BT52" s="2" t="str">
        <f t="shared" si="9"/>
        <v/>
      </c>
      <c r="BU52" s="2" t="str">
        <f t="shared" si="9"/>
        <v/>
      </c>
      <c r="BV52" s="2" t="str">
        <f t="shared" si="9"/>
        <v/>
      </c>
      <c r="BW52" s="2" t="str">
        <f t="shared" si="9"/>
        <v/>
      </c>
      <c r="BX52" s="2" t="str">
        <f t="shared" si="9"/>
        <v/>
      </c>
      <c r="BY52" s="2" t="str">
        <f t="shared" si="9"/>
        <v/>
      </c>
      <c r="BZ52" s="2" t="str">
        <f t="shared" si="9"/>
        <v/>
      </c>
      <c r="CA52" s="2" t="str">
        <f t="shared" si="9"/>
        <v/>
      </c>
      <c r="CB52" s="2" t="str">
        <f t="shared" si="9"/>
        <v/>
      </c>
      <c r="CC52" s="2" t="str">
        <f t="shared" si="9"/>
        <v/>
      </c>
      <c r="CD52" s="2" t="str">
        <f t="shared" si="9"/>
        <v/>
      </c>
      <c r="CE52" s="2" t="str">
        <f t="shared" si="9"/>
        <v/>
      </c>
      <c r="CF52" s="2" t="str">
        <f t="shared" si="9"/>
        <v/>
      </c>
      <c r="CG52" s="2" t="str">
        <f t="shared" si="9"/>
        <v/>
      </c>
      <c r="CH52" s="2" t="str">
        <f t="shared" si="9"/>
        <v/>
      </c>
      <c r="CI52" s="2" t="str">
        <f t="shared" si="9"/>
        <v/>
      </c>
      <c r="CJ52" s="2" t="str">
        <f t="shared" si="9"/>
        <v/>
      </c>
      <c r="CK52" s="2" t="str">
        <f t="shared" si="9"/>
        <v/>
      </c>
      <c r="CL52" s="2" t="str">
        <f t="shared" si="9"/>
        <v/>
      </c>
      <c r="CM52" s="2" t="str">
        <f t="shared" si="9"/>
        <v/>
      </c>
      <c r="CN52" s="2" t="str">
        <f t="shared" si="9"/>
        <v/>
      </c>
      <c r="CO52" s="2" t="str">
        <f t="shared" si="9"/>
        <v/>
      </c>
      <c r="CP52" s="2" t="str">
        <f t="shared" si="9"/>
        <v/>
      </c>
      <c r="CQ52" s="2" t="str">
        <f t="shared" si="9"/>
        <v/>
      </c>
      <c r="CR52" s="2" t="str">
        <f t="shared" si="9"/>
        <v/>
      </c>
      <c r="CS52" s="2" t="str">
        <f t="shared" si="9"/>
        <v/>
      </c>
      <c r="CT52" s="2" t="str">
        <f t="shared" si="9"/>
        <v/>
      </c>
      <c r="CU52" s="2" t="str">
        <f t="shared" si="9"/>
        <v/>
      </c>
      <c r="CV52" s="2" t="str">
        <f t="shared" si="9"/>
        <v/>
      </c>
      <c r="CW52" s="2" t="str">
        <f t="shared" si="9"/>
        <v/>
      </c>
      <c r="CX52" s="2" t="str">
        <f t="shared" si="9"/>
        <v/>
      </c>
      <c r="CY52" s="2" t="str">
        <f t="shared" si="9"/>
        <v/>
      </c>
      <c r="CZ52" s="2" t="str">
        <f t="shared" si="9"/>
        <v/>
      </c>
      <c r="DA52" s="2" t="str">
        <f t="shared" si="9"/>
        <v/>
      </c>
      <c r="DB52" s="2" t="str">
        <f t="shared" si="9"/>
        <v/>
      </c>
      <c r="DC52" s="2" t="str">
        <f t="shared" si="9"/>
        <v/>
      </c>
      <c r="DD52" s="2" t="str">
        <f t="shared" si="9"/>
        <v/>
      </c>
      <c r="DE52" s="2" t="str">
        <f t="shared" si="9"/>
        <v/>
      </c>
      <c r="DF52" s="2" t="str">
        <f t="shared" si="9"/>
        <v/>
      </c>
      <c r="DG52" s="2" t="str">
        <f t="shared" si="9"/>
        <v/>
      </c>
      <c r="DH52" s="2" t="str">
        <f t="shared" si="9"/>
        <v/>
      </c>
      <c r="DI52" s="2" t="str">
        <f t="shared" si="9"/>
        <v/>
      </c>
      <c r="DJ52" s="2" t="str">
        <f t="shared" si="9"/>
        <v/>
      </c>
      <c r="DK52" s="2" t="str">
        <f t="shared" si="9"/>
        <v/>
      </c>
      <c r="DL52" s="2" t="str">
        <f t="shared" si="9"/>
        <v/>
      </c>
      <c r="DM52" s="2" t="str">
        <f t="shared" si="9"/>
        <v/>
      </c>
      <c r="DN52" s="2" t="str">
        <f t="shared" si="9"/>
        <v/>
      </c>
      <c r="DO52" s="2" t="str">
        <f t="shared" si="9"/>
        <v/>
      </c>
      <c r="DP52" s="2" t="str">
        <f t="shared" si="9"/>
        <v/>
      </c>
      <c r="DQ52" s="2" t="str">
        <f t="shared" si="9"/>
        <v/>
      </c>
      <c r="DR52" s="2" t="str">
        <f t="shared" si="9"/>
        <v/>
      </c>
      <c r="DS52" s="2" t="str">
        <f t="shared" si="9"/>
        <v/>
      </c>
      <c r="DT52" s="2" t="str">
        <f t="shared" si="9"/>
        <v/>
      </c>
      <c r="DU52" s="2" t="str">
        <f t="shared" si="9"/>
        <v/>
      </c>
      <c r="DV52" s="2" t="str">
        <f t="shared" si="9"/>
        <v/>
      </c>
      <c r="DW52" s="2" t="str">
        <f t="shared" si="9"/>
        <v/>
      </c>
      <c r="DX52" s="2" t="str">
        <f t="shared" si="9"/>
        <v/>
      </c>
      <c r="DY52" s="2" t="str">
        <f t="shared" si="9"/>
        <v/>
      </c>
      <c r="DZ52" s="2" t="str">
        <f t="shared" si="9"/>
        <v/>
      </c>
      <c r="EA52" s="2" t="str">
        <f t="shared" si="9"/>
        <v/>
      </c>
      <c r="EB52" s="2" t="str">
        <f t="shared" ref="EB52:GM52" si="10">IF(EB$41="","",$A$60)</f>
        <v/>
      </c>
      <c r="EC52" s="2" t="str">
        <f t="shared" si="10"/>
        <v/>
      </c>
      <c r="ED52" s="2" t="str">
        <f t="shared" si="10"/>
        <v/>
      </c>
      <c r="EE52" s="2" t="str">
        <f t="shared" si="10"/>
        <v/>
      </c>
      <c r="EF52" s="2" t="str">
        <f t="shared" si="10"/>
        <v/>
      </c>
      <c r="EG52" s="2" t="str">
        <f t="shared" si="10"/>
        <v/>
      </c>
      <c r="EH52" s="2" t="str">
        <f t="shared" si="10"/>
        <v/>
      </c>
      <c r="EI52" s="2" t="str">
        <f t="shared" si="10"/>
        <v/>
      </c>
      <c r="EJ52" s="2" t="str">
        <f t="shared" si="10"/>
        <v/>
      </c>
      <c r="EK52" s="2" t="str">
        <f t="shared" si="10"/>
        <v/>
      </c>
      <c r="EL52" s="2" t="str">
        <f t="shared" si="10"/>
        <v/>
      </c>
      <c r="EM52" s="2" t="str">
        <f t="shared" si="10"/>
        <v/>
      </c>
      <c r="EN52" s="2" t="str">
        <f t="shared" si="10"/>
        <v/>
      </c>
      <c r="EO52" s="2" t="str">
        <f t="shared" si="10"/>
        <v/>
      </c>
      <c r="EP52" s="2" t="str">
        <f t="shared" si="10"/>
        <v/>
      </c>
      <c r="EQ52" s="2" t="str">
        <f t="shared" si="10"/>
        <v/>
      </c>
      <c r="ER52" s="2" t="str">
        <f t="shared" si="10"/>
        <v/>
      </c>
      <c r="ES52" s="2" t="str">
        <f t="shared" si="10"/>
        <v/>
      </c>
      <c r="ET52" s="2" t="str">
        <f t="shared" si="10"/>
        <v/>
      </c>
      <c r="EU52" s="2" t="str">
        <f t="shared" si="10"/>
        <v/>
      </c>
      <c r="EV52" s="2" t="str">
        <f t="shared" si="10"/>
        <v/>
      </c>
      <c r="EW52" s="2" t="str">
        <f t="shared" si="10"/>
        <v/>
      </c>
      <c r="EX52" s="2" t="str">
        <f t="shared" si="10"/>
        <v/>
      </c>
      <c r="EY52" s="2" t="str">
        <f t="shared" si="10"/>
        <v/>
      </c>
      <c r="EZ52" s="2" t="str">
        <f t="shared" si="10"/>
        <v/>
      </c>
      <c r="FA52" s="2" t="str">
        <f t="shared" si="10"/>
        <v/>
      </c>
      <c r="FB52" s="2" t="str">
        <f t="shared" si="10"/>
        <v/>
      </c>
      <c r="FC52" s="2" t="str">
        <f t="shared" si="10"/>
        <v/>
      </c>
      <c r="FD52" s="2" t="str">
        <f t="shared" si="10"/>
        <v/>
      </c>
      <c r="FE52" s="2" t="str">
        <f t="shared" si="10"/>
        <v/>
      </c>
      <c r="FF52" s="2" t="str">
        <f t="shared" si="10"/>
        <v/>
      </c>
      <c r="FG52" s="2" t="str">
        <f t="shared" si="10"/>
        <v/>
      </c>
      <c r="FH52" s="2" t="str">
        <f t="shared" si="10"/>
        <v/>
      </c>
      <c r="FI52" s="2" t="str">
        <f t="shared" si="10"/>
        <v/>
      </c>
      <c r="FJ52" s="2" t="str">
        <f t="shared" si="10"/>
        <v/>
      </c>
      <c r="FK52" s="2" t="str">
        <f t="shared" si="10"/>
        <v/>
      </c>
      <c r="FL52" s="2" t="str">
        <f t="shared" si="10"/>
        <v/>
      </c>
      <c r="FM52" s="2" t="str">
        <f t="shared" si="10"/>
        <v/>
      </c>
      <c r="FN52" s="2" t="str">
        <f t="shared" si="10"/>
        <v/>
      </c>
      <c r="FO52" s="2" t="str">
        <f t="shared" si="10"/>
        <v/>
      </c>
      <c r="FP52" s="2" t="str">
        <f t="shared" si="10"/>
        <v/>
      </c>
      <c r="FQ52" s="2" t="str">
        <f t="shared" si="10"/>
        <v/>
      </c>
      <c r="FR52" s="2" t="str">
        <f t="shared" si="10"/>
        <v/>
      </c>
      <c r="FS52" s="2" t="str">
        <f t="shared" si="10"/>
        <v/>
      </c>
      <c r="FT52" s="2" t="str">
        <f t="shared" si="10"/>
        <v/>
      </c>
      <c r="FU52" s="2" t="str">
        <f t="shared" si="10"/>
        <v/>
      </c>
      <c r="FV52" s="2" t="str">
        <f t="shared" si="10"/>
        <v/>
      </c>
      <c r="FW52" s="2" t="str">
        <f t="shared" si="10"/>
        <v/>
      </c>
      <c r="FX52" s="2" t="str">
        <f t="shared" si="10"/>
        <v/>
      </c>
      <c r="FY52" s="2" t="str">
        <f t="shared" si="10"/>
        <v/>
      </c>
      <c r="FZ52" s="2" t="str">
        <f t="shared" si="10"/>
        <v/>
      </c>
      <c r="GA52" s="2" t="str">
        <f t="shared" si="10"/>
        <v/>
      </c>
      <c r="GB52" s="2" t="str">
        <f t="shared" si="10"/>
        <v/>
      </c>
      <c r="GC52" s="2" t="str">
        <f t="shared" si="10"/>
        <v/>
      </c>
      <c r="GD52" s="2" t="str">
        <f t="shared" si="10"/>
        <v/>
      </c>
      <c r="GE52" s="2" t="str">
        <f t="shared" si="10"/>
        <v/>
      </c>
      <c r="GF52" s="2" t="str">
        <f t="shared" si="10"/>
        <v/>
      </c>
      <c r="GG52" s="2" t="str">
        <f t="shared" si="10"/>
        <v/>
      </c>
      <c r="GH52" s="2" t="str">
        <f t="shared" si="10"/>
        <v/>
      </c>
      <c r="GI52" s="2" t="str">
        <f t="shared" si="10"/>
        <v/>
      </c>
      <c r="GJ52" s="2" t="str">
        <f t="shared" si="10"/>
        <v/>
      </c>
      <c r="GK52" s="2" t="str">
        <f t="shared" si="10"/>
        <v/>
      </c>
      <c r="GL52" s="2" t="str">
        <f t="shared" si="10"/>
        <v/>
      </c>
      <c r="GM52" s="2" t="str">
        <f t="shared" si="10"/>
        <v/>
      </c>
      <c r="GN52" s="2" t="str">
        <f t="shared" ref="GN52:IV52" si="11">IF(GN$41="","",$A$60)</f>
        <v/>
      </c>
      <c r="GO52" s="2" t="str">
        <f t="shared" si="11"/>
        <v/>
      </c>
      <c r="GP52" s="2" t="str">
        <f t="shared" si="11"/>
        <v/>
      </c>
      <c r="GQ52" s="2" t="str">
        <f t="shared" si="11"/>
        <v/>
      </c>
      <c r="GR52" s="2" t="str">
        <f t="shared" si="11"/>
        <v/>
      </c>
      <c r="GS52" s="2" t="str">
        <f t="shared" si="11"/>
        <v/>
      </c>
      <c r="GT52" s="2" t="str">
        <f t="shared" si="11"/>
        <v/>
      </c>
      <c r="GU52" s="2" t="str">
        <f t="shared" si="11"/>
        <v/>
      </c>
      <c r="GV52" s="2" t="str">
        <f t="shared" si="11"/>
        <v/>
      </c>
      <c r="GW52" s="2" t="str">
        <f t="shared" si="11"/>
        <v/>
      </c>
      <c r="GX52" s="2" t="str">
        <f t="shared" si="11"/>
        <v/>
      </c>
      <c r="GY52" s="2" t="str">
        <f t="shared" si="11"/>
        <v/>
      </c>
      <c r="GZ52" s="2" t="str">
        <f t="shared" si="11"/>
        <v/>
      </c>
      <c r="HA52" s="2" t="str">
        <f t="shared" si="11"/>
        <v/>
      </c>
      <c r="HB52" s="2" t="str">
        <f t="shared" si="11"/>
        <v/>
      </c>
      <c r="HC52" s="2" t="str">
        <f t="shared" si="11"/>
        <v/>
      </c>
      <c r="HD52" s="2" t="str">
        <f t="shared" si="11"/>
        <v/>
      </c>
      <c r="HE52" s="2" t="str">
        <f t="shared" si="11"/>
        <v/>
      </c>
      <c r="HF52" s="2" t="str">
        <f t="shared" si="11"/>
        <v/>
      </c>
      <c r="HG52" s="2" t="str">
        <f t="shared" si="11"/>
        <v/>
      </c>
      <c r="HH52" s="2" t="str">
        <f t="shared" si="11"/>
        <v/>
      </c>
      <c r="HI52" s="2" t="str">
        <f t="shared" si="11"/>
        <v/>
      </c>
      <c r="HJ52" s="2" t="str">
        <f t="shared" si="11"/>
        <v/>
      </c>
      <c r="HK52" s="2" t="str">
        <f t="shared" si="11"/>
        <v/>
      </c>
      <c r="HL52" s="2" t="str">
        <f t="shared" si="11"/>
        <v/>
      </c>
      <c r="HM52" s="2" t="str">
        <f t="shared" si="11"/>
        <v/>
      </c>
      <c r="HN52" s="2" t="str">
        <f t="shared" si="11"/>
        <v/>
      </c>
      <c r="HO52" s="2" t="str">
        <f t="shared" si="11"/>
        <v/>
      </c>
      <c r="HP52" s="2" t="str">
        <f t="shared" si="11"/>
        <v/>
      </c>
      <c r="HQ52" s="2" t="str">
        <f t="shared" si="11"/>
        <v/>
      </c>
      <c r="HR52" s="2" t="str">
        <f t="shared" si="11"/>
        <v/>
      </c>
      <c r="HS52" s="2" t="str">
        <f t="shared" si="11"/>
        <v/>
      </c>
      <c r="HT52" s="2" t="str">
        <f t="shared" si="11"/>
        <v/>
      </c>
      <c r="HU52" s="2" t="str">
        <f t="shared" si="11"/>
        <v/>
      </c>
      <c r="HV52" s="2" t="str">
        <f t="shared" si="11"/>
        <v/>
      </c>
      <c r="HW52" s="2" t="str">
        <f t="shared" si="11"/>
        <v/>
      </c>
      <c r="HX52" s="2" t="str">
        <f t="shared" si="11"/>
        <v/>
      </c>
      <c r="HY52" s="2" t="str">
        <f t="shared" si="11"/>
        <v/>
      </c>
      <c r="HZ52" s="2" t="str">
        <f t="shared" si="11"/>
        <v/>
      </c>
      <c r="IA52" s="2" t="str">
        <f t="shared" si="11"/>
        <v/>
      </c>
      <c r="IB52" s="2" t="str">
        <f t="shared" si="11"/>
        <v/>
      </c>
      <c r="IC52" s="2" t="str">
        <f t="shared" si="11"/>
        <v/>
      </c>
      <c r="ID52" s="2" t="str">
        <f t="shared" si="11"/>
        <v/>
      </c>
      <c r="IE52" s="2" t="str">
        <f t="shared" si="11"/>
        <v/>
      </c>
      <c r="IF52" s="2" t="str">
        <f t="shared" si="11"/>
        <v/>
      </c>
      <c r="IG52" s="2" t="str">
        <f t="shared" si="11"/>
        <v/>
      </c>
      <c r="IH52" s="2" t="str">
        <f t="shared" si="11"/>
        <v/>
      </c>
      <c r="II52" s="2" t="str">
        <f t="shared" si="11"/>
        <v/>
      </c>
      <c r="IJ52" s="2" t="str">
        <f t="shared" si="11"/>
        <v/>
      </c>
      <c r="IK52" s="2" t="str">
        <f t="shared" si="11"/>
        <v/>
      </c>
      <c r="IL52" s="2" t="str">
        <f t="shared" si="11"/>
        <v/>
      </c>
      <c r="IM52" s="2" t="str">
        <f t="shared" si="11"/>
        <v/>
      </c>
      <c r="IN52" s="2" t="str">
        <f t="shared" si="11"/>
        <v/>
      </c>
      <c r="IO52" s="2" t="str">
        <f t="shared" si="11"/>
        <v/>
      </c>
      <c r="IP52" s="2" t="str">
        <f t="shared" si="11"/>
        <v/>
      </c>
      <c r="IQ52" s="2" t="str">
        <f t="shared" si="11"/>
        <v/>
      </c>
      <c r="IR52" s="2" t="str">
        <f t="shared" si="11"/>
        <v/>
      </c>
      <c r="IS52" s="2" t="str">
        <f t="shared" si="11"/>
        <v/>
      </c>
      <c r="IT52" s="2" t="str">
        <f t="shared" si="11"/>
        <v/>
      </c>
      <c r="IU52" s="2" t="str">
        <f t="shared" si="11"/>
        <v/>
      </c>
      <c r="IV52" s="2" t="str">
        <f t="shared" si="11"/>
        <v/>
      </c>
    </row>
    <row r="53" spans="1:256" x14ac:dyDescent="0.2">
      <c r="A53" s="3" t="s">
        <v>18</v>
      </c>
      <c r="C53" s="2" t="str">
        <f ca="1">IF(C$41="","",TEXTJOINARRAY("|",TRUE,FINDLINKS(DatasetLinks,MATCH("Dataset "&amp;MINDS!C$55,OFFSET(DatasetLinks,0,0,1),0),"Person ",PersonLookup,2)))</f>
        <v/>
      </c>
      <c r="D53" s="2" t="str">
        <f ca="1">IF(D$41="","",TEXTJOINARRAY("|",TRUE,FINDLINKS(DatasetLinks,MATCH("Dataset "&amp;MINDS!D$55,OFFSET(DatasetLinks,0,0,1),0),"Person ",PersonLookup,2)))</f>
        <v/>
      </c>
      <c r="E53" s="2" t="str">
        <f ca="1">IF(E$41="","",TEXTJOINARRAY("|",TRUE,FINDLINKS(DatasetLinks,MATCH("Dataset "&amp;MINDS!E$55,OFFSET(DatasetLinks,0,0,1),0),"Person ",PersonLookup,2)))</f>
        <v/>
      </c>
      <c r="F53" s="2" t="str">
        <f ca="1">IF(F$41="","",TEXTJOINARRAY("|",TRUE,FINDLINKS(DatasetLinks,MATCH("Dataset "&amp;MINDS!F$55,OFFSET(DatasetLinks,0,0,1),0),"Person ",PersonLookup,2)))</f>
        <v/>
      </c>
      <c r="G53" s="2" t="str">
        <f ca="1">IF(G$41="","",TEXTJOINARRAY("|",TRUE,FINDLINKS(DatasetLinks,MATCH("Dataset "&amp;MINDS!G$55,OFFSET(DatasetLinks,0,0,1),0),"Person ",PersonLookup,2)))</f>
        <v/>
      </c>
      <c r="H53" s="2" t="str">
        <f ca="1">IF(H$41="","",TEXTJOINARRAY("|",TRUE,FINDLINKS(DatasetLinks,MATCH("Dataset "&amp;MINDS!H$55,OFFSET(DatasetLinks,0,0,1),0),"Person ",PersonLookup,2)))</f>
        <v/>
      </c>
      <c r="I53" s="2" t="str">
        <f ca="1">IF(I$41="","",TEXTJOINARRAY("|",TRUE,FINDLINKS(DatasetLinks,MATCH("Dataset "&amp;MINDS!I$55,OFFSET(DatasetLinks,0,0,1),0),"Person ",PersonLookup,2)))</f>
        <v/>
      </c>
      <c r="J53" s="2" t="str">
        <f ca="1">IF(J$41="","",TEXTJOINARRAY("|",TRUE,FINDLINKS(DatasetLinks,MATCH("Dataset "&amp;MINDS!J$55,OFFSET(DatasetLinks,0,0,1),0),"Person ",PersonLookup,2)))</f>
        <v/>
      </c>
      <c r="K53" s="2" t="str">
        <f ca="1">IF(K$41="","",TEXTJOINARRAY("|",TRUE,FINDLINKS(DatasetLinks,MATCH("Dataset "&amp;MINDS!K$55,OFFSET(DatasetLinks,0,0,1),0),"Person ",PersonLookup,2)))</f>
        <v/>
      </c>
      <c r="L53" s="2" t="str">
        <f ca="1">IF(L$41="","",TEXTJOINARRAY("|",TRUE,FINDLINKS(DatasetLinks,MATCH("Dataset "&amp;MINDS!L$55,OFFSET(DatasetLinks,0,0,1),0),"Person ",PersonLookup,2)))</f>
        <v/>
      </c>
      <c r="M53" s="2" t="str">
        <f ca="1">IF(M$41="","",TEXTJOINARRAY("|",TRUE,FINDLINKS(DatasetLinks,MATCH("Dataset "&amp;MINDS!M$55,OFFSET(DatasetLinks,0,0,1),0),"Person ",PersonLookup,2)))</f>
        <v/>
      </c>
      <c r="N53" s="2" t="str">
        <f ca="1">IF(N$41="","",TEXTJOINARRAY("|",TRUE,FINDLINKS(DatasetLinks,MATCH("Dataset "&amp;MINDS!N$55,OFFSET(DatasetLinks,0,0,1),0),"Person ",PersonLookup,2)))</f>
        <v/>
      </c>
      <c r="O53" s="2" t="str">
        <f ca="1">IF(O$41="","",TEXTJOINARRAY("|",TRUE,FINDLINKS(DatasetLinks,MATCH("Dataset "&amp;MINDS!O$55,OFFSET(DatasetLinks,0,0,1),0),"Person ",PersonLookup,2)))</f>
        <v/>
      </c>
      <c r="P53" s="2" t="str">
        <f ca="1">IF(P$41="","",TEXTJOINARRAY("|",TRUE,FINDLINKS(DatasetLinks,MATCH("Dataset "&amp;MINDS!P$55,OFFSET(DatasetLinks,0,0,1),0),"Person ",PersonLookup,2)))</f>
        <v/>
      </c>
      <c r="Q53" s="2" t="str">
        <f ca="1">IF(Q$41="","",TEXTJOINARRAY("|",TRUE,FINDLINKS(DatasetLinks,MATCH("Dataset "&amp;MINDS!Q$55,OFFSET(DatasetLinks,0,0,1),0),"Person ",PersonLookup,2)))</f>
        <v/>
      </c>
      <c r="R53" s="2" t="str">
        <f ca="1">IF(R$41="","",TEXTJOINARRAY("|",TRUE,FINDLINKS(DatasetLinks,MATCH("Dataset "&amp;MINDS!R$55,OFFSET(DatasetLinks,0,0,1),0),"Person ",PersonLookup,2)))</f>
        <v/>
      </c>
      <c r="S53" s="2" t="str">
        <f ca="1">IF(S$41="","",TEXTJOINARRAY("|",TRUE,FINDLINKS(DatasetLinks,MATCH("Dataset "&amp;MINDS!S$55,OFFSET(DatasetLinks,0,0,1),0),"Person ",PersonLookup,2)))</f>
        <v/>
      </c>
      <c r="T53" s="2" t="str">
        <f ca="1">IF(T$41="","",TEXTJOINARRAY("|",TRUE,FINDLINKS(DatasetLinks,MATCH("Dataset "&amp;MINDS!T$55,OFFSET(DatasetLinks,0,0,1),0),"Person ",PersonLookup,2)))</f>
        <v/>
      </c>
      <c r="U53" s="2" t="str">
        <f ca="1">IF(U$41="","",TEXTJOINARRAY("|",TRUE,FINDLINKS(DatasetLinks,MATCH("Dataset "&amp;MINDS!U$55,OFFSET(DatasetLinks,0,0,1),0),"Person ",PersonLookup,2)))</f>
        <v/>
      </c>
      <c r="V53" s="2" t="str">
        <f ca="1">IF(V$41="","",TEXTJOINARRAY("|",TRUE,FINDLINKS(DatasetLinks,MATCH("Dataset "&amp;MINDS!V$55,OFFSET(DatasetLinks,0,0,1),0),"Person ",PersonLookup,2)))</f>
        <v/>
      </c>
      <c r="W53" s="2" t="str">
        <f ca="1">IF(W$41="","",TEXTJOINARRAY("|",TRUE,FINDLINKS(DatasetLinks,MATCH("Dataset "&amp;MINDS!W$55,OFFSET(DatasetLinks,0,0,1),0),"Person ",PersonLookup,2)))</f>
        <v/>
      </c>
      <c r="X53" s="2" t="str">
        <f ca="1">IF(X$41="","",TEXTJOINARRAY("|",TRUE,FINDLINKS(DatasetLinks,MATCH("Dataset "&amp;MINDS!X$55,OFFSET(DatasetLinks,0,0,1),0),"Person ",PersonLookup,2)))</f>
        <v/>
      </c>
      <c r="Y53" s="2" t="str">
        <f ca="1">IF(Y$41="","",TEXTJOINARRAY("|",TRUE,FINDLINKS(DatasetLinks,MATCH("Dataset "&amp;MINDS!Y$55,OFFSET(DatasetLinks,0,0,1),0),"Person ",PersonLookup,2)))</f>
        <v/>
      </c>
      <c r="Z53" s="2" t="str">
        <f ca="1">IF(Z$41="","",TEXTJOINARRAY("|",TRUE,FINDLINKS(DatasetLinks,MATCH("Dataset "&amp;MINDS!Z$55,OFFSET(DatasetLinks,0,0,1),0),"Person ",PersonLookup,2)))</f>
        <v/>
      </c>
      <c r="AA53" s="2" t="str">
        <f ca="1">IF(AA$41="","",TEXTJOINARRAY("|",TRUE,FINDLINKS(DatasetLinks,MATCH("Dataset "&amp;MINDS!AA$55,OFFSET(DatasetLinks,0,0,1),0),"Person ",PersonLookup,2)))</f>
        <v/>
      </c>
      <c r="AB53" s="2" t="str">
        <f ca="1">IF(AB$41="","",TEXTJOINARRAY("|",TRUE,FINDLINKS(DatasetLinks,MATCH("Dataset "&amp;MINDS!AB$55,OFFSET(DatasetLinks,0,0,1),0),"Person ",PersonLookup,2)))</f>
        <v/>
      </c>
      <c r="AC53" s="2" t="str">
        <f ca="1">IF(AC$41="","",TEXTJOINARRAY("|",TRUE,FINDLINKS(DatasetLinks,MATCH("Dataset "&amp;MINDS!AC$55,OFFSET(DatasetLinks,0,0,1),0),"Person ",PersonLookup,2)))</f>
        <v/>
      </c>
      <c r="AD53" s="2" t="str">
        <f ca="1">IF(AD$41="","",TEXTJOINARRAY("|",TRUE,FINDLINKS(DatasetLinks,MATCH("Dataset "&amp;MINDS!AD$55,OFFSET(DatasetLinks,0,0,1),0),"Person ",PersonLookup,2)))</f>
        <v/>
      </c>
      <c r="AE53" s="2" t="str">
        <f ca="1">IF(AE$41="","",TEXTJOINARRAY("|",TRUE,FINDLINKS(DatasetLinks,MATCH("Dataset "&amp;MINDS!AE$55,OFFSET(DatasetLinks,0,0,1),0),"Person ",PersonLookup,2)))</f>
        <v/>
      </c>
      <c r="AF53" s="2" t="str">
        <f ca="1">IF(AF$41="","",TEXTJOINARRAY("|",TRUE,FINDLINKS(DatasetLinks,MATCH("Dataset "&amp;MINDS!AF$55,OFFSET(DatasetLinks,0,0,1),0),"Person ",PersonLookup,2)))</f>
        <v/>
      </c>
      <c r="AG53" s="2" t="str">
        <f ca="1">IF(AG$41="","",TEXTJOINARRAY("|",TRUE,FINDLINKS(DatasetLinks,MATCH("Dataset "&amp;MINDS!AG$55,OFFSET(DatasetLinks,0,0,1),0),"Person ",PersonLookup,2)))</f>
        <v/>
      </c>
      <c r="AH53" s="2" t="str">
        <f ca="1">IF(AH$41="","",TEXTJOINARRAY("|",TRUE,FINDLINKS(DatasetLinks,MATCH("Dataset "&amp;MINDS!AH$55,OFFSET(DatasetLinks,0,0,1),0),"Person ",PersonLookup,2)))</f>
        <v/>
      </c>
      <c r="AI53" s="2" t="str">
        <f ca="1">IF(AI$41="","",TEXTJOINARRAY("|",TRUE,FINDLINKS(DatasetLinks,MATCH("Dataset "&amp;MINDS!AI$55,OFFSET(DatasetLinks,0,0,1),0),"Person ",PersonLookup,2)))</f>
        <v/>
      </c>
      <c r="AJ53" s="2" t="str">
        <f ca="1">IF(AJ$41="","",TEXTJOINARRAY("|",TRUE,FINDLINKS(DatasetLinks,MATCH("Dataset "&amp;MINDS!AJ$55,OFFSET(DatasetLinks,0,0,1),0),"Person ",PersonLookup,2)))</f>
        <v/>
      </c>
      <c r="AK53" s="2" t="str">
        <f ca="1">IF(AK$41="","",TEXTJOINARRAY("|",TRUE,FINDLINKS(DatasetLinks,MATCH("Dataset "&amp;MINDS!AK$55,OFFSET(DatasetLinks,0,0,1),0),"Person ",PersonLookup,2)))</f>
        <v/>
      </c>
      <c r="AL53" s="2" t="str">
        <f ca="1">IF(AL$41="","",TEXTJOINARRAY("|",TRUE,FINDLINKS(DatasetLinks,MATCH("Dataset "&amp;MINDS!AL$55,OFFSET(DatasetLinks,0,0,1),0),"Person ",PersonLookup,2)))</f>
        <v/>
      </c>
      <c r="AM53" s="2" t="str">
        <f ca="1">IF(AM$41="","",TEXTJOINARRAY("|",TRUE,FINDLINKS(DatasetLinks,MATCH("Dataset "&amp;MINDS!AM$55,OFFSET(DatasetLinks,0,0,1),0),"Person ",PersonLookup,2)))</f>
        <v/>
      </c>
      <c r="AN53" s="2" t="str">
        <f ca="1">IF(AN$41="","",TEXTJOINARRAY("|",TRUE,FINDLINKS(DatasetLinks,MATCH("Dataset "&amp;MINDS!AN$55,OFFSET(DatasetLinks,0,0,1),0),"Person ",PersonLookup,2)))</f>
        <v/>
      </c>
      <c r="AO53" s="2" t="str">
        <f ca="1">IF(AO$41="","",TEXTJOINARRAY("|",TRUE,FINDLINKS(DatasetLinks,MATCH("Dataset "&amp;MINDS!AO$55,OFFSET(DatasetLinks,0,0,1),0),"Person ",PersonLookup,2)))</f>
        <v/>
      </c>
      <c r="AP53" s="2" t="str">
        <f ca="1">IF(AP$41="","",TEXTJOINARRAY("|",TRUE,FINDLINKS(DatasetLinks,MATCH("Dataset "&amp;MINDS!AP$55,OFFSET(DatasetLinks,0,0,1),0),"Person ",PersonLookup,2)))</f>
        <v/>
      </c>
      <c r="AQ53" s="2" t="str">
        <f ca="1">IF(AQ$41="","",TEXTJOINARRAY("|",TRUE,FINDLINKS(DatasetLinks,MATCH("Dataset "&amp;MINDS!AQ$55,OFFSET(DatasetLinks,0,0,1),0),"Person ",PersonLookup,2)))</f>
        <v/>
      </c>
      <c r="AR53" s="2" t="str">
        <f ca="1">IF(AR$41="","",TEXTJOINARRAY("|",TRUE,FINDLINKS(DatasetLinks,MATCH("Dataset "&amp;MINDS!AR$55,OFFSET(DatasetLinks,0,0,1),0),"Person ",PersonLookup,2)))</f>
        <v/>
      </c>
      <c r="AS53" s="2" t="str">
        <f ca="1">IF(AS$41="","",TEXTJOINARRAY("|",TRUE,FINDLINKS(DatasetLinks,MATCH("Dataset "&amp;MINDS!AS$55,OFFSET(DatasetLinks,0,0,1),0),"Person ",PersonLookup,2)))</f>
        <v/>
      </c>
      <c r="AT53" s="2" t="str">
        <f ca="1">IF(AT$41="","",TEXTJOINARRAY("|",TRUE,FINDLINKS(DatasetLinks,MATCH("Dataset "&amp;MINDS!AT$55,OFFSET(DatasetLinks,0,0,1),0),"Person ",PersonLookup,2)))</f>
        <v/>
      </c>
      <c r="AU53" s="2" t="str">
        <f ca="1">IF(AU$41="","",TEXTJOINARRAY("|",TRUE,FINDLINKS(DatasetLinks,MATCH("Dataset "&amp;MINDS!AU$55,OFFSET(DatasetLinks,0,0,1),0),"Person ",PersonLookup,2)))</f>
        <v/>
      </c>
      <c r="AV53" s="2" t="str">
        <f ca="1">IF(AV$41="","",TEXTJOINARRAY("|",TRUE,FINDLINKS(DatasetLinks,MATCH("Dataset "&amp;MINDS!AV$55,OFFSET(DatasetLinks,0,0,1),0),"Person ",PersonLookup,2)))</f>
        <v/>
      </c>
      <c r="AW53" s="2" t="str">
        <f ca="1">IF(AW$41="","",TEXTJOINARRAY("|",TRUE,FINDLINKS(DatasetLinks,MATCH("Dataset "&amp;MINDS!AW$55,OFFSET(DatasetLinks,0,0,1),0),"Person ",PersonLookup,2)))</f>
        <v/>
      </c>
      <c r="AX53" s="2" t="str">
        <f ca="1">IF(AX$41="","",TEXTJOINARRAY("|",TRUE,FINDLINKS(DatasetLinks,MATCH("Dataset "&amp;MINDS!AX$55,OFFSET(DatasetLinks,0,0,1),0),"Person ",PersonLookup,2)))</f>
        <v/>
      </c>
      <c r="AY53" s="2" t="str">
        <f ca="1">IF(AY$41="","",TEXTJOINARRAY("|",TRUE,FINDLINKS(DatasetLinks,MATCH("Dataset "&amp;MINDS!AY$55,OFFSET(DatasetLinks,0,0,1),0),"Person ",PersonLookup,2)))</f>
        <v/>
      </c>
      <c r="AZ53" s="2" t="str">
        <f ca="1">IF(AZ$41="","",TEXTJOINARRAY("|",TRUE,FINDLINKS(DatasetLinks,MATCH("Dataset "&amp;MINDS!AZ$55,OFFSET(DatasetLinks,0,0,1),0),"Person ",PersonLookup,2)))</f>
        <v/>
      </c>
      <c r="BA53" s="2" t="str">
        <f ca="1">IF(BA$41="","",TEXTJOINARRAY("|",TRUE,FINDLINKS(DatasetLinks,MATCH("Dataset "&amp;MINDS!BA$55,OFFSET(DatasetLinks,0,0,1),0),"Person ",PersonLookup,2)))</f>
        <v/>
      </c>
      <c r="BB53" s="2" t="str">
        <f ca="1">IF(BB$41="","",TEXTJOINARRAY("|",TRUE,FINDLINKS(DatasetLinks,MATCH("Dataset "&amp;MINDS!BB$55,OFFSET(DatasetLinks,0,0,1),0),"Person ",PersonLookup,2)))</f>
        <v/>
      </c>
      <c r="BC53" s="2" t="str">
        <f ca="1">IF(BC$41="","",TEXTJOINARRAY("|",TRUE,FINDLINKS(DatasetLinks,MATCH("Dataset "&amp;MINDS!BC$55,OFFSET(DatasetLinks,0,0,1),0),"Person ",PersonLookup,2)))</f>
        <v/>
      </c>
      <c r="BD53" s="2" t="str">
        <f ca="1">IF(BD$41="","",TEXTJOINARRAY("|",TRUE,FINDLINKS(DatasetLinks,MATCH("Dataset "&amp;MINDS!BD$55,OFFSET(DatasetLinks,0,0,1),0),"Person ",PersonLookup,2)))</f>
        <v/>
      </c>
      <c r="BE53" s="2" t="str">
        <f ca="1">IF(BE$41="","",TEXTJOINARRAY("|",TRUE,FINDLINKS(DatasetLinks,MATCH("Dataset "&amp;MINDS!BE$55,OFFSET(DatasetLinks,0,0,1),0),"Person ",PersonLookup,2)))</f>
        <v/>
      </c>
      <c r="BF53" s="2" t="str">
        <f ca="1">IF(BF$41="","",TEXTJOINARRAY("|",TRUE,FINDLINKS(DatasetLinks,MATCH("Dataset "&amp;MINDS!BF$55,OFFSET(DatasetLinks,0,0,1),0),"Person ",PersonLookup,2)))</f>
        <v/>
      </c>
      <c r="BG53" s="2" t="str">
        <f ca="1">IF(BG$41="","",TEXTJOINARRAY("|",TRUE,FINDLINKS(DatasetLinks,MATCH("Dataset "&amp;MINDS!BG$55,OFFSET(DatasetLinks,0,0,1),0),"Person ",PersonLookup,2)))</f>
        <v/>
      </c>
      <c r="BH53" s="2" t="str">
        <f ca="1">IF(BH$41="","",TEXTJOINARRAY("|",TRUE,FINDLINKS(DatasetLinks,MATCH("Dataset "&amp;MINDS!BH$55,OFFSET(DatasetLinks,0,0,1),0),"Person ",PersonLookup,2)))</f>
        <v/>
      </c>
      <c r="BI53" s="2" t="str">
        <f ca="1">IF(BI$41="","",TEXTJOINARRAY("|",TRUE,FINDLINKS(DatasetLinks,MATCH("Dataset "&amp;MINDS!BI$55,OFFSET(DatasetLinks,0,0,1),0),"Person ",PersonLookup,2)))</f>
        <v/>
      </c>
      <c r="BJ53" s="2" t="str">
        <f ca="1">IF(BJ$41="","",TEXTJOINARRAY("|",TRUE,FINDLINKS(DatasetLinks,MATCH("Dataset "&amp;MINDS!BJ$55,OFFSET(DatasetLinks,0,0,1),0),"Person ",PersonLookup,2)))</f>
        <v/>
      </c>
      <c r="BK53" s="2" t="str">
        <f ca="1">IF(BK$41="","",TEXTJOINARRAY("|",TRUE,FINDLINKS(DatasetLinks,MATCH("Dataset "&amp;MINDS!BK$55,OFFSET(DatasetLinks,0,0,1),0),"Person ",PersonLookup,2)))</f>
        <v/>
      </c>
      <c r="BL53" s="2" t="str">
        <f ca="1">IF(BL$41="","",TEXTJOINARRAY("|",TRUE,FINDLINKS(DatasetLinks,MATCH("Dataset "&amp;MINDS!BL$55,OFFSET(DatasetLinks,0,0,1),0),"Person ",PersonLookup,2)))</f>
        <v/>
      </c>
      <c r="BM53" s="2" t="str">
        <f ca="1">IF(BM$41="","",TEXTJOINARRAY("|",TRUE,FINDLINKS(DatasetLinks,MATCH("Dataset "&amp;MINDS!BM$55,OFFSET(DatasetLinks,0,0,1),0),"Person ",PersonLookup,2)))</f>
        <v/>
      </c>
      <c r="BN53" s="2" t="str">
        <f ca="1">IF(BN$41="","",TEXTJOINARRAY("|",TRUE,FINDLINKS(DatasetLinks,MATCH("Dataset "&amp;MINDS!BN$55,OFFSET(DatasetLinks,0,0,1),0),"Person ",PersonLookup,2)))</f>
        <v/>
      </c>
      <c r="BO53" s="2" t="str">
        <f ca="1">IF(BO$41="","",TEXTJOINARRAY("|",TRUE,FINDLINKS(DatasetLinks,MATCH("Dataset "&amp;MINDS!BO$55,OFFSET(DatasetLinks,0,0,1),0),"Person ",PersonLookup,2)))</f>
        <v/>
      </c>
      <c r="BP53" s="2" t="str">
        <f ca="1">IF(BP$41="","",TEXTJOINARRAY("|",TRUE,FINDLINKS(DatasetLinks,MATCH("Dataset "&amp;MINDS!BP$55,OFFSET(DatasetLinks,0,0,1),0),"Person ",PersonLookup,2)))</f>
        <v/>
      </c>
      <c r="BQ53" s="2" t="str">
        <f ca="1">IF(BQ$41="","",TEXTJOINARRAY("|",TRUE,FINDLINKS(DatasetLinks,MATCH("Dataset "&amp;MINDS!BQ$55,OFFSET(DatasetLinks,0,0,1),0),"Person ",PersonLookup,2)))</f>
        <v/>
      </c>
      <c r="BR53" s="2" t="str">
        <f ca="1">IF(BR$41="","",TEXTJOINARRAY("|",TRUE,FINDLINKS(DatasetLinks,MATCH("Dataset "&amp;MINDS!BR$55,OFFSET(DatasetLinks,0,0,1),0),"Person ",PersonLookup,2)))</f>
        <v/>
      </c>
      <c r="BS53" s="2" t="str">
        <f ca="1">IF(BS$41="","",TEXTJOINARRAY("|",TRUE,FINDLINKS(DatasetLinks,MATCH("Dataset "&amp;MINDS!BS$55,OFFSET(DatasetLinks,0,0,1),0),"Person ",PersonLookup,2)))</f>
        <v/>
      </c>
      <c r="BT53" s="2" t="str">
        <f ca="1">IF(BT$41="","",TEXTJOINARRAY("|",TRUE,FINDLINKS(DatasetLinks,MATCH("Dataset "&amp;MINDS!BT$55,OFFSET(DatasetLinks,0,0,1),0),"Person ",PersonLookup,2)))</f>
        <v/>
      </c>
      <c r="BU53" s="2" t="str">
        <f ca="1">IF(BU$41="","",TEXTJOINARRAY("|",TRUE,FINDLINKS(DatasetLinks,MATCH("Dataset "&amp;MINDS!BU$55,OFFSET(DatasetLinks,0,0,1),0),"Person ",PersonLookup,2)))</f>
        <v/>
      </c>
      <c r="BV53" s="2" t="str">
        <f ca="1">IF(BV$41="","",TEXTJOINARRAY("|",TRUE,FINDLINKS(DatasetLinks,MATCH("Dataset "&amp;MINDS!BV$55,OFFSET(DatasetLinks,0,0,1),0),"Person ",PersonLookup,2)))</f>
        <v/>
      </c>
      <c r="BW53" s="2" t="str">
        <f ca="1">IF(BW$41="","",TEXTJOINARRAY("|",TRUE,FINDLINKS(DatasetLinks,MATCH("Dataset "&amp;MINDS!BW$55,OFFSET(DatasetLinks,0,0,1),0),"Person ",PersonLookup,2)))</f>
        <v/>
      </c>
      <c r="BX53" s="2" t="str">
        <f ca="1">IF(BX$41="","",TEXTJOINARRAY("|",TRUE,FINDLINKS(DatasetLinks,MATCH("Dataset "&amp;MINDS!BX$55,OFFSET(DatasetLinks,0,0,1),0),"Person ",PersonLookup,2)))</f>
        <v/>
      </c>
      <c r="BY53" s="2" t="str">
        <f ca="1">IF(BY$41="","",TEXTJOINARRAY("|",TRUE,FINDLINKS(DatasetLinks,MATCH("Dataset "&amp;MINDS!BY$55,OFFSET(DatasetLinks,0,0,1),0),"Person ",PersonLookup,2)))</f>
        <v/>
      </c>
      <c r="BZ53" s="2" t="str">
        <f ca="1">IF(BZ$41="","",TEXTJOINARRAY("|",TRUE,FINDLINKS(DatasetLinks,MATCH("Dataset "&amp;MINDS!BZ$55,OFFSET(DatasetLinks,0,0,1),0),"Person ",PersonLookup,2)))</f>
        <v/>
      </c>
      <c r="CA53" s="2" t="str">
        <f ca="1">IF(CA$41="","",TEXTJOINARRAY("|",TRUE,FINDLINKS(DatasetLinks,MATCH("Dataset "&amp;MINDS!CA$55,OFFSET(DatasetLinks,0,0,1),0),"Person ",PersonLookup,2)))</f>
        <v/>
      </c>
      <c r="CB53" s="2" t="str">
        <f ca="1">IF(CB$41="","",TEXTJOINARRAY("|",TRUE,FINDLINKS(DatasetLinks,MATCH("Dataset "&amp;MINDS!CB$55,OFFSET(DatasetLinks,0,0,1),0),"Person ",PersonLookup,2)))</f>
        <v/>
      </c>
      <c r="CC53" s="2" t="str">
        <f ca="1">IF(CC$41="","",TEXTJOINARRAY("|",TRUE,FINDLINKS(DatasetLinks,MATCH("Dataset "&amp;MINDS!CC$55,OFFSET(DatasetLinks,0,0,1),0),"Person ",PersonLookup,2)))</f>
        <v/>
      </c>
      <c r="CD53" s="2" t="str">
        <f ca="1">IF(CD$41="","",TEXTJOINARRAY("|",TRUE,FINDLINKS(DatasetLinks,MATCH("Dataset "&amp;MINDS!CD$55,OFFSET(DatasetLinks,0,0,1),0),"Person ",PersonLookup,2)))</f>
        <v/>
      </c>
      <c r="CE53" s="2" t="str">
        <f ca="1">IF(CE$41="","",TEXTJOINARRAY("|",TRUE,FINDLINKS(DatasetLinks,MATCH("Dataset "&amp;MINDS!CE$55,OFFSET(DatasetLinks,0,0,1),0),"Person ",PersonLookup,2)))</f>
        <v/>
      </c>
      <c r="CF53" s="2" t="str">
        <f ca="1">IF(CF$41="","",TEXTJOINARRAY("|",TRUE,FINDLINKS(DatasetLinks,MATCH("Dataset "&amp;MINDS!CF$55,OFFSET(DatasetLinks,0,0,1),0),"Person ",PersonLookup,2)))</f>
        <v/>
      </c>
      <c r="CG53" s="2" t="str">
        <f ca="1">IF(CG$41="","",TEXTJOINARRAY("|",TRUE,FINDLINKS(DatasetLinks,MATCH("Dataset "&amp;MINDS!CG$55,OFFSET(DatasetLinks,0,0,1),0),"Person ",PersonLookup,2)))</f>
        <v/>
      </c>
      <c r="CH53" s="2" t="str">
        <f ca="1">IF(CH$41="","",TEXTJOINARRAY("|",TRUE,FINDLINKS(DatasetLinks,MATCH("Dataset "&amp;MINDS!CH$55,OFFSET(DatasetLinks,0,0,1),0),"Person ",PersonLookup,2)))</f>
        <v/>
      </c>
      <c r="CI53" s="2" t="str">
        <f ca="1">IF(CI$41="","",TEXTJOINARRAY("|",TRUE,FINDLINKS(DatasetLinks,MATCH("Dataset "&amp;MINDS!CI$55,OFFSET(DatasetLinks,0,0,1),0),"Person ",PersonLookup,2)))</f>
        <v/>
      </c>
      <c r="CJ53" s="2" t="str">
        <f ca="1">IF(CJ$41="","",TEXTJOINARRAY("|",TRUE,FINDLINKS(DatasetLinks,MATCH("Dataset "&amp;MINDS!CJ$55,OFFSET(DatasetLinks,0,0,1),0),"Person ",PersonLookup,2)))</f>
        <v/>
      </c>
      <c r="CK53" s="2" t="str">
        <f ca="1">IF(CK$41="","",TEXTJOINARRAY("|",TRUE,FINDLINKS(DatasetLinks,MATCH("Dataset "&amp;MINDS!CK$55,OFFSET(DatasetLinks,0,0,1),0),"Person ",PersonLookup,2)))</f>
        <v/>
      </c>
      <c r="CL53" s="2" t="str">
        <f ca="1">IF(CL$41="","",TEXTJOINARRAY("|",TRUE,FINDLINKS(DatasetLinks,MATCH("Dataset "&amp;MINDS!CL$55,OFFSET(DatasetLinks,0,0,1),0),"Person ",PersonLookup,2)))</f>
        <v/>
      </c>
      <c r="CM53" s="2" t="str">
        <f ca="1">IF(CM$41="","",TEXTJOINARRAY("|",TRUE,FINDLINKS(DatasetLinks,MATCH("Dataset "&amp;MINDS!CM$55,OFFSET(DatasetLinks,0,0,1),0),"Person ",PersonLookup,2)))</f>
        <v/>
      </c>
      <c r="CN53" s="2" t="str">
        <f ca="1">IF(CN$41="","",TEXTJOINARRAY("|",TRUE,FINDLINKS(DatasetLinks,MATCH("Dataset "&amp;MINDS!CN$55,OFFSET(DatasetLinks,0,0,1),0),"Person ",PersonLookup,2)))</f>
        <v/>
      </c>
      <c r="CO53" s="2" t="str">
        <f ca="1">IF(CO$41="","",TEXTJOINARRAY("|",TRUE,FINDLINKS(DatasetLinks,MATCH("Dataset "&amp;MINDS!CO$55,OFFSET(DatasetLinks,0,0,1),0),"Person ",PersonLookup,2)))</f>
        <v/>
      </c>
      <c r="CP53" s="2" t="str">
        <f ca="1">IF(CP$41="","",TEXTJOINARRAY("|",TRUE,FINDLINKS(DatasetLinks,MATCH("Dataset "&amp;MINDS!CP$55,OFFSET(DatasetLinks,0,0,1),0),"Person ",PersonLookup,2)))</f>
        <v/>
      </c>
      <c r="CQ53" s="2" t="str">
        <f ca="1">IF(CQ$41="","",TEXTJOINARRAY("|",TRUE,FINDLINKS(DatasetLinks,MATCH("Dataset "&amp;MINDS!CQ$55,OFFSET(DatasetLinks,0,0,1),0),"Person ",PersonLookup,2)))</f>
        <v/>
      </c>
      <c r="CR53" s="2" t="str">
        <f ca="1">IF(CR$41="","",TEXTJOINARRAY("|",TRUE,FINDLINKS(DatasetLinks,MATCH("Dataset "&amp;MINDS!CR$55,OFFSET(DatasetLinks,0,0,1),0),"Person ",PersonLookup,2)))</f>
        <v/>
      </c>
      <c r="CS53" s="2" t="str">
        <f ca="1">IF(CS$41="","",TEXTJOINARRAY("|",TRUE,FINDLINKS(DatasetLinks,MATCH("Dataset "&amp;MINDS!CS$55,OFFSET(DatasetLinks,0,0,1),0),"Person ",PersonLookup,2)))</f>
        <v/>
      </c>
      <c r="CT53" s="2" t="str">
        <f ca="1">IF(CT$41="","",TEXTJOINARRAY("|",TRUE,FINDLINKS(DatasetLinks,MATCH("Dataset "&amp;MINDS!CT$55,OFFSET(DatasetLinks,0,0,1),0),"Person ",PersonLookup,2)))</f>
        <v/>
      </c>
      <c r="CU53" s="2" t="str">
        <f ca="1">IF(CU$41="","",TEXTJOINARRAY("|",TRUE,FINDLINKS(DatasetLinks,MATCH("Dataset "&amp;MINDS!CU$55,OFFSET(DatasetLinks,0,0,1),0),"Person ",PersonLookup,2)))</f>
        <v/>
      </c>
      <c r="CV53" s="2" t="str">
        <f ca="1">IF(CV$41="","",TEXTJOINARRAY("|",TRUE,FINDLINKS(DatasetLinks,MATCH("Dataset "&amp;MINDS!CV$55,OFFSET(DatasetLinks,0,0,1),0),"Person ",PersonLookup,2)))</f>
        <v/>
      </c>
      <c r="CW53" s="2" t="str">
        <f ca="1">IF(CW$41="","",TEXTJOINARRAY("|",TRUE,FINDLINKS(DatasetLinks,MATCH("Dataset "&amp;MINDS!CW$55,OFFSET(DatasetLinks,0,0,1),0),"Person ",PersonLookup,2)))</f>
        <v/>
      </c>
      <c r="CX53" s="2" t="str">
        <f ca="1">IF(CX$41="","",TEXTJOINARRAY("|",TRUE,FINDLINKS(DatasetLinks,MATCH("Dataset "&amp;MINDS!CX$55,OFFSET(DatasetLinks,0,0,1),0),"Person ",PersonLookup,2)))</f>
        <v/>
      </c>
      <c r="CY53" s="2" t="str">
        <f ca="1">IF(CY$41="","",TEXTJOINARRAY("|",TRUE,FINDLINKS(DatasetLinks,MATCH("Dataset "&amp;MINDS!CY$55,OFFSET(DatasetLinks,0,0,1),0),"Person ",PersonLookup,2)))</f>
        <v/>
      </c>
      <c r="CZ53" s="2" t="str">
        <f ca="1">IF(CZ$41="","",TEXTJOINARRAY("|",TRUE,FINDLINKS(DatasetLinks,MATCH("Dataset "&amp;MINDS!CZ$55,OFFSET(DatasetLinks,0,0,1),0),"Person ",PersonLookup,2)))</f>
        <v/>
      </c>
      <c r="DA53" s="2" t="str">
        <f ca="1">IF(DA$41="","",TEXTJOINARRAY("|",TRUE,FINDLINKS(DatasetLinks,MATCH("Dataset "&amp;MINDS!DA$55,OFFSET(DatasetLinks,0,0,1),0),"Person ",PersonLookup,2)))</f>
        <v/>
      </c>
      <c r="DB53" s="2" t="str">
        <f ca="1">IF(DB$41="","",TEXTJOINARRAY("|",TRUE,FINDLINKS(DatasetLinks,MATCH("Dataset "&amp;MINDS!DB$55,OFFSET(DatasetLinks,0,0,1),0),"Person ",PersonLookup,2)))</f>
        <v/>
      </c>
      <c r="DC53" s="2" t="str">
        <f ca="1">IF(DC$41="","",TEXTJOINARRAY("|",TRUE,FINDLINKS(DatasetLinks,MATCH("Dataset "&amp;MINDS!DC$55,OFFSET(DatasetLinks,0,0,1),0),"Person ",PersonLookup,2)))</f>
        <v/>
      </c>
      <c r="DD53" s="2" t="str">
        <f ca="1">IF(DD$41="","",TEXTJOINARRAY("|",TRUE,FINDLINKS(DatasetLinks,MATCH("Dataset "&amp;MINDS!DD$55,OFFSET(DatasetLinks,0,0,1),0),"Person ",PersonLookup,2)))</f>
        <v/>
      </c>
      <c r="DE53" s="2" t="str">
        <f ca="1">IF(DE$41="","",TEXTJOINARRAY("|",TRUE,FINDLINKS(DatasetLinks,MATCH("Dataset "&amp;MINDS!DE$55,OFFSET(DatasetLinks,0,0,1),0),"Person ",PersonLookup,2)))</f>
        <v/>
      </c>
      <c r="DF53" s="2" t="str">
        <f ca="1">IF(DF$41="","",TEXTJOINARRAY("|",TRUE,FINDLINKS(DatasetLinks,MATCH("Dataset "&amp;MINDS!DF$55,OFFSET(DatasetLinks,0,0,1),0),"Person ",PersonLookup,2)))</f>
        <v/>
      </c>
      <c r="DG53" s="2" t="str">
        <f ca="1">IF(DG$41="","",TEXTJOINARRAY("|",TRUE,FINDLINKS(DatasetLinks,MATCH("Dataset "&amp;MINDS!DG$55,OFFSET(DatasetLinks,0,0,1),0),"Person ",PersonLookup,2)))</f>
        <v/>
      </c>
      <c r="DH53" s="2" t="str">
        <f ca="1">IF(DH$41="","",TEXTJOINARRAY("|",TRUE,FINDLINKS(DatasetLinks,MATCH("Dataset "&amp;MINDS!DH$55,OFFSET(DatasetLinks,0,0,1),0),"Person ",PersonLookup,2)))</f>
        <v/>
      </c>
      <c r="DI53" s="2" t="str">
        <f ca="1">IF(DI$41="","",TEXTJOINARRAY("|",TRUE,FINDLINKS(DatasetLinks,MATCH("Dataset "&amp;MINDS!DI$55,OFFSET(DatasetLinks,0,0,1),0),"Person ",PersonLookup,2)))</f>
        <v/>
      </c>
      <c r="DJ53" s="2" t="str">
        <f ca="1">IF(DJ$41="","",TEXTJOINARRAY("|",TRUE,FINDLINKS(DatasetLinks,MATCH("Dataset "&amp;MINDS!DJ$55,OFFSET(DatasetLinks,0,0,1),0),"Person ",PersonLookup,2)))</f>
        <v/>
      </c>
      <c r="DK53" s="2" t="str">
        <f ca="1">IF(DK$41="","",TEXTJOINARRAY("|",TRUE,FINDLINKS(DatasetLinks,MATCH("Dataset "&amp;MINDS!DK$55,OFFSET(DatasetLinks,0,0,1),0),"Person ",PersonLookup,2)))</f>
        <v/>
      </c>
      <c r="DL53" s="2" t="str">
        <f ca="1">IF(DL$41="","",TEXTJOINARRAY("|",TRUE,FINDLINKS(DatasetLinks,MATCH("Dataset "&amp;MINDS!DL$55,OFFSET(DatasetLinks,0,0,1),0),"Person ",PersonLookup,2)))</f>
        <v/>
      </c>
      <c r="DM53" s="2" t="str">
        <f ca="1">IF(DM$41="","",TEXTJOINARRAY("|",TRUE,FINDLINKS(DatasetLinks,MATCH("Dataset "&amp;MINDS!DM$55,OFFSET(DatasetLinks,0,0,1),0),"Person ",PersonLookup,2)))</f>
        <v/>
      </c>
      <c r="DN53" s="2" t="str">
        <f ca="1">IF(DN$41="","",TEXTJOINARRAY("|",TRUE,FINDLINKS(DatasetLinks,MATCH("Dataset "&amp;MINDS!DN$55,OFFSET(DatasetLinks,0,0,1),0),"Person ",PersonLookup,2)))</f>
        <v/>
      </c>
      <c r="DO53" s="2" t="str">
        <f ca="1">IF(DO$41="","",TEXTJOINARRAY("|",TRUE,FINDLINKS(DatasetLinks,MATCH("Dataset "&amp;MINDS!DO$55,OFFSET(DatasetLinks,0,0,1),0),"Person ",PersonLookup,2)))</f>
        <v/>
      </c>
      <c r="DP53" s="2" t="str">
        <f ca="1">IF(DP$41="","",TEXTJOINARRAY("|",TRUE,FINDLINKS(DatasetLinks,MATCH("Dataset "&amp;MINDS!DP$55,OFFSET(DatasetLinks,0,0,1),0),"Person ",PersonLookup,2)))</f>
        <v/>
      </c>
      <c r="DQ53" s="2" t="str">
        <f ca="1">IF(DQ$41="","",TEXTJOINARRAY("|",TRUE,FINDLINKS(DatasetLinks,MATCH("Dataset "&amp;MINDS!DQ$55,OFFSET(DatasetLinks,0,0,1),0),"Person ",PersonLookup,2)))</f>
        <v/>
      </c>
      <c r="DR53" s="2" t="str">
        <f ca="1">IF(DR$41="","",TEXTJOINARRAY("|",TRUE,FINDLINKS(DatasetLinks,MATCH("Dataset "&amp;MINDS!DR$55,OFFSET(DatasetLinks,0,0,1),0),"Person ",PersonLookup,2)))</f>
        <v/>
      </c>
      <c r="DS53" s="2" t="str">
        <f ca="1">IF(DS$41="","",TEXTJOINARRAY("|",TRUE,FINDLINKS(DatasetLinks,MATCH("Dataset "&amp;MINDS!DS$55,OFFSET(DatasetLinks,0,0,1),0),"Person ",PersonLookup,2)))</f>
        <v/>
      </c>
      <c r="DT53" s="2" t="str">
        <f ca="1">IF(DT$41="","",TEXTJOINARRAY("|",TRUE,FINDLINKS(DatasetLinks,MATCH("Dataset "&amp;MINDS!DT$55,OFFSET(DatasetLinks,0,0,1),0),"Person ",PersonLookup,2)))</f>
        <v/>
      </c>
      <c r="DU53" s="2" t="str">
        <f ca="1">IF(DU$41="","",TEXTJOINARRAY("|",TRUE,FINDLINKS(DatasetLinks,MATCH("Dataset "&amp;MINDS!DU$55,OFFSET(DatasetLinks,0,0,1),0),"Person ",PersonLookup,2)))</f>
        <v/>
      </c>
      <c r="DV53" s="2" t="str">
        <f ca="1">IF(DV$41="","",TEXTJOINARRAY("|",TRUE,FINDLINKS(DatasetLinks,MATCH("Dataset "&amp;MINDS!DV$55,OFFSET(DatasetLinks,0,0,1),0),"Person ",PersonLookup,2)))</f>
        <v/>
      </c>
      <c r="DW53" s="2" t="str">
        <f ca="1">IF(DW$41="","",TEXTJOINARRAY("|",TRUE,FINDLINKS(DatasetLinks,MATCH("Dataset "&amp;MINDS!DW$55,OFFSET(DatasetLinks,0,0,1),0),"Person ",PersonLookup,2)))</f>
        <v/>
      </c>
      <c r="DX53" s="2" t="str">
        <f ca="1">IF(DX$41="","",TEXTJOINARRAY("|",TRUE,FINDLINKS(DatasetLinks,MATCH("Dataset "&amp;MINDS!DX$55,OFFSET(DatasetLinks,0,0,1),0),"Person ",PersonLookup,2)))</f>
        <v/>
      </c>
      <c r="DY53" s="2" t="str">
        <f ca="1">IF(DY$41="","",TEXTJOINARRAY("|",TRUE,FINDLINKS(DatasetLinks,MATCH("Dataset "&amp;MINDS!DY$55,OFFSET(DatasetLinks,0,0,1),0),"Person ",PersonLookup,2)))</f>
        <v/>
      </c>
      <c r="DZ53" s="2" t="str">
        <f ca="1">IF(DZ$41="","",TEXTJOINARRAY("|",TRUE,FINDLINKS(DatasetLinks,MATCH("Dataset "&amp;MINDS!DZ$55,OFFSET(DatasetLinks,0,0,1),0),"Person ",PersonLookup,2)))</f>
        <v/>
      </c>
      <c r="EA53" s="2" t="str">
        <f ca="1">IF(EA$41="","",TEXTJOINARRAY("|",TRUE,FINDLINKS(DatasetLinks,MATCH("Dataset "&amp;MINDS!EA$55,OFFSET(DatasetLinks,0,0,1),0),"Person ",PersonLookup,2)))</f>
        <v/>
      </c>
      <c r="EB53" s="2" t="str">
        <f ca="1">IF(EB$41="","",TEXTJOINARRAY("|",TRUE,FINDLINKS(DatasetLinks,MATCH("Dataset "&amp;MINDS!EB$55,OFFSET(DatasetLinks,0,0,1),0),"Person ",PersonLookup,2)))</f>
        <v/>
      </c>
      <c r="EC53" s="2" t="str">
        <f ca="1">IF(EC$41="","",TEXTJOINARRAY("|",TRUE,FINDLINKS(DatasetLinks,MATCH("Dataset "&amp;MINDS!EC$55,OFFSET(DatasetLinks,0,0,1),0),"Person ",PersonLookup,2)))</f>
        <v/>
      </c>
      <c r="ED53" s="2" t="str">
        <f ca="1">IF(ED$41="","",TEXTJOINARRAY("|",TRUE,FINDLINKS(DatasetLinks,MATCH("Dataset "&amp;MINDS!ED$55,OFFSET(DatasetLinks,0,0,1),0),"Person ",PersonLookup,2)))</f>
        <v/>
      </c>
      <c r="EE53" s="2" t="str">
        <f ca="1">IF(EE$41="","",TEXTJOINARRAY("|",TRUE,FINDLINKS(DatasetLinks,MATCH("Dataset "&amp;MINDS!EE$55,OFFSET(DatasetLinks,0,0,1),0),"Person ",PersonLookup,2)))</f>
        <v/>
      </c>
      <c r="EF53" s="2" t="str">
        <f ca="1">IF(EF$41="","",TEXTJOINARRAY("|",TRUE,FINDLINKS(DatasetLinks,MATCH("Dataset "&amp;MINDS!EF$55,OFFSET(DatasetLinks,0,0,1),0),"Person ",PersonLookup,2)))</f>
        <v/>
      </c>
      <c r="EG53" s="2" t="str">
        <f ca="1">IF(EG$41="","",TEXTJOINARRAY("|",TRUE,FINDLINKS(DatasetLinks,MATCH("Dataset "&amp;MINDS!EG$55,OFFSET(DatasetLinks,0,0,1),0),"Person ",PersonLookup,2)))</f>
        <v/>
      </c>
      <c r="EH53" s="2" t="str">
        <f ca="1">IF(EH$41="","",TEXTJOINARRAY("|",TRUE,FINDLINKS(DatasetLinks,MATCH("Dataset "&amp;MINDS!EH$55,OFFSET(DatasetLinks,0,0,1),0),"Person ",PersonLookup,2)))</f>
        <v/>
      </c>
      <c r="EI53" s="2" t="str">
        <f ca="1">IF(EI$41="","",TEXTJOINARRAY("|",TRUE,FINDLINKS(DatasetLinks,MATCH("Dataset "&amp;MINDS!EI$55,OFFSET(DatasetLinks,0,0,1),0),"Person ",PersonLookup,2)))</f>
        <v/>
      </c>
      <c r="EJ53" s="2" t="str">
        <f ca="1">IF(EJ$41="","",TEXTJOINARRAY("|",TRUE,FINDLINKS(DatasetLinks,MATCH("Dataset "&amp;MINDS!EJ$55,OFFSET(DatasetLinks,0,0,1),0),"Person ",PersonLookup,2)))</f>
        <v/>
      </c>
      <c r="EK53" s="2" t="str">
        <f ca="1">IF(EK$41="","",TEXTJOINARRAY("|",TRUE,FINDLINKS(DatasetLinks,MATCH("Dataset "&amp;MINDS!EK$55,OFFSET(DatasetLinks,0,0,1),0),"Person ",PersonLookup,2)))</f>
        <v/>
      </c>
      <c r="EL53" s="2" t="str">
        <f ca="1">IF(EL$41="","",TEXTJOINARRAY("|",TRUE,FINDLINKS(DatasetLinks,MATCH("Dataset "&amp;MINDS!EL$55,OFFSET(DatasetLinks,0,0,1),0),"Person ",PersonLookup,2)))</f>
        <v/>
      </c>
      <c r="EM53" s="2" t="str">
        <f ca="1">IF(EM$41="","",TEXTJOINARRAY("|",TRUE,FINDLINKS(DatasetLinks,MATCH("Dataset "&amp;MINDS!EM$55,OFFSET(DatasetLinks,0,0,1),0),"Person ",PersonLookup,2)))</f>
        <v/>
      </c>
      <c r="EN53" s="2" t="str">
        <f ca="1">IF(EN$41="","",TEXTJOINARRAY("|",TRUE,FINDLINKS(DatasetLinks,MATCH("Dataset "&amp;MINDS!EN$55,OFFSET(DatasetLinks,0,0,1),0),"Person ",PersonLookup,2)))</f>
        <v/>
      </c>
      <c r="EO53" s="2" t="str">
        <f ca="1">IF(EO$41="","",TEXTJOINARRAY("|",TRUE,FINDLINKS(DatasetLinks,MATCH("Dataset "&amp;MINDS!EO$55,OFFSET(DatasetLinks,0,0,1),0),"Person ",PersonLookup,2)))</f>
        <v/>
      </c>
      <c r="EP53" s="2" t="str">
        <f ca="1">IF(EP$41="","",TEXTJOINARRAY("|",TRUE,FINDLINKS(DatasetLinks,MATCH("Dataset "&amp;MINDS!EP$55,OFFSET(DatasetLinks,0,0,1),0),"Person ",PersonLookup,2)))</f>
        <v/>
      </c>
      <c r="EQ53" s="2" t="str">
        <f ca="1">IF(EQ$41="","",TEXTJOINARRAY("|",TRUE,FINDLINKS(DatasetLinks,MATCH("Dataset "&amp;MINDS!EQ$55,OFFSET(DatasetLinks,0,0,1),0),"Person ",PersonLookup,2)))</f>
        <v/>
      </c>
      <c r="ER53" s="2" t="str">
        <f ca="1">IF(ER$41="","",TEXTJOINARRAY("|",TRUE,FINDLINKS(DatasetLinks,MATCH("Dataset "&amp;MINDS!ER$55,OFFSET(DatasetLinks,0,0,1),0),"Person ",PersonLookup,2)))</f>
        <v/>
      </c>
      <c r="ES53" s="2" t="str">
        <f ca="1">IF(ES$41="","",TEXTJOINARRAY("|",TRUE,FINDLINKS(DatasetLinks,MATCH("Dataset "&amp;MINDS!ES$55,OFFSET(DatasetLinks,0,0,1),0),"Person ",PersonLookup,2)))</f>
        <v/>
      </c>
      <c r="ET53" s="2" t="str">
        <f ca="1">IF(ET$41="","",TEXTJOINARRAY("|",TRUE,FINDLINKS(DatasetLinks,MATCH("Dataset "&amp;MINDS!ET$55,OFFSET(DatasetLinks,0,0,1),0),"Person ",PersonLookup,2)))</f>
        <v/>
      </c>
      <c r="EU53" s="2" t="str">
        <f ca="1">IF(EU$41="","",TEXTJOINARRAY("|",TRUE,FINDLINKS(DatasetLinks,MATCH("Dataset "&amp;MINDS!EU$55,OFFSET(DatasetLinks,0,0,1),0),"Person ",PersonLookup,2)))</f>
        <v/>
      </c>
      <c r="EV53" s="2" t="str">
        <f ca="1">IF(EV$41="","",TEXTJOINARRAY("|",TRUE,FINDLINKS(DatasetLinks,MATCH("Dataset "&amp;MINDS!EV$55,OFFSET(DatasetLinks,0,0,1),0),"Person ",PersonLookup,2)))</f>
        <v/>
      </c>
      <c r="EW53" s="2" t="str">
        <f ca="1">IF(EW$41="","",TEXTJOINARRAY("|",TRUE,FINDLINKS(DatasetLinks,MATCH("Dataset "&amp;MINDS!EW$55,OFFSET(DatasetLinks,0,0,1),0),"Person ",PersonLookup,2)))</f>
        <v/>
      </c>
      <c r="EX53" s="2" t="str">
        <f ca="1">IF(EX$41="","",TEXTJOINARRAY("|",TRUE,FINDLINKS(DatasetLinks,MATCH("Dataset "&amp;MINDS!EX$55,OFFSET(DatasetLinks,0,0,1),0),"Person ",PersonLookup,2)))</f>
        <v/>
      </c>
      <c r="EY53" s="2" t="str">
        <f ca="1">IF(EY$41="","",TEXTJOINARRAY("|",TRUE,FINDLINKS(DatasetLinks,MATCH("Dataset "&amp;MINDS!EY$55,OFFSET(DatasetLinks,0,0,1),0),"Person ",PersonLookup,2)))</f>
        <v/>
      </c>
      <c r="EZ53" s="2" t="str">
        <f ca="1">IF(EZ$41="","",TEXTJOINARRAY("|",TRUE,FINDLINKS(DatasetLinks,MATCH("Dataset "&amp;MINDS!EZ$55,OFFSET(DatasetLinks,0,0,1),0),"Person ",PersonLookup,2)))</f>
        <v/>
      </c>
      <c r="FA53" s="2" t="str">
        <f ca="1">IF(FA$41="","",TEXTJOINARRAY("|",TRUE,FINDLINKS(DatasetLinks,MATCH("Dataset "&amp;MINDS!FA$55,OFFSET(DatasetLinks,0,0,1),0),"Person ",PersonLookup,2)))</f>
        <v/>
      </c>
      <c r="FB53" s="2" t="str">
        <f ca="1">IF(FB$41="","",TEXTJOINARRAY("|",TRUE,FINDLINKS(DatasetLinks,MATCH("Dataset "&amp;MINDS!FB$55,OFFSET(DatasetLinks,0,0,1),0),"Person ",PersonLookup,2)))</f>
        <v/>
      </c>
      <c r="FC53" s="2" t="str">
        <f ca="1">IF(FC$41="","",TEXTJOINARRAY("|",TRUE,FINDLINKS(DatasetLinks,MATCH("Dataset "&amp;MINDS!FC$55,OFFSET(DatasetLinks,0,0,1),0),"Person ",PersonLookup,2)))</f>
        <v/>
      </c>
      <c r="FD53" s="2" t="str">
        <f ca="1">IF(FD$41="","",TEXTJOINARRAY("|",TRUE,FINDLINKS(DatasetLinks,MATCH("Dataset "&amp;MINDS!FD$55,OFFSET(DatasetLinks,0,0,1),0),"Person ",PersonLookup,2)))</f>
        <v/>
      </c>
      <c r="FE53" s="2" t="str">
        <f ca="1">IF(FE$41="","",TEXTJOINARRAY("|",TRUE,FINDLINKS(DatasetLinks,MATCH("Dataset "&amp;MINDS!FE$55,OFFSET(DatasetLinks,0,0,1),0),"Person ",PersonLookup,2)))</f>
        <v/>
      </c>
      <c r="FF53" s="2" t="str">
        <f ca="1">IF(FF$41="","",TEXTJOINARRAY("|",TRUE,FINDLINKS(DatasetLinks,MATCH("Dataset "&amp;MINDS!FF$55,OFFSET(DatasetLinks,0,0,1),0),"Person ",PersonLookup,2)))</f>
        <v/>
      </c>
      <c r="FG53" s="2" t="str">
        <f ca="1">IF(FG$41="","",TEXTJOINARRAY("|",TRUE,FINDLINKS(DatasetLinks,MATCH("Dataset "&amp;MINDS!FG$55,OFFSET(DatasetLinks,0,0,1),0),"Person ",PersonLookup,2)))</f>
        <v/>
      </c>
      <c r="FH53" s="2" t="str">
        <f ca="1">IF(FH$41="","",TEXTJOINARRAY("|",TRUE,FINDLINKS(DatasetLinks,MATCH("Dataset "&amp;MINDS!FH$55,OFFSET(DatasetLinks,0,0,1),0),"Person ",PersonLookup,2)))</f>
        <v/>
      </c>
      <c r="FI53" s="2" t="str">
        <f ca="1">IF(FI$41="","",TEXTJOINARRAY("|",TRUE,FINDLINKS(DatasetLinks,MATCH("Dataset "&amp;MINDS!FI$55,OFFSET(DatasetLinks,0,0,1),0),"Person ",PersonLookup,2)))</f>
        <v/>
      </c>
      <c r="FJ53" s="2" t="str">
        <f ca="1">IF(FJ$41="","",TEXTJOINARRAY("|",TRUE,FINDLINKS(DatasetLinks,MATCH("Dataset "&amp;MINDS!FJ$55,OFFSET(DatasetLinks,0,0,1),0),"Person ",PersonLookup,2)))</f>
        <v/>
      </c>
      <c r="FK53" s="2" t="str">
        <f ca="1">IF(FK$41="","",TEXTJOINARRAY("|",TRUE,FINDLINKS(DatasetLinks,MATCH("Dataset "&amp;MINDS!FK$55,OFFSET(DatasetLinks,0,0,1),0),"Person ",PersonLookup,2)))</f>
        <v/>
      </c>
      <c r="FL53" s="2" t="str">
        <f ca="1">IF(FL$41="","",TEXTJOINARRAY("|",TRUE,FINDLINKS(DatasetLinks,MATCH("Dataset "&amp;MINDS!FL$55,OFFSET(DatasetLinks,0,0,1),0),"Person ",PersonLookup,2)))</f>
        <v/>
      </c>
      <c r="FM53" s="2" t="str">
        <f ca="1">IF(FM$41="","",TEXTJOINARRAY("|",TRUE,FINDLINKS(DatasetLinks,MATCH("Dataset "&amp;MINDS!FM$55,OFFSET(DatasetLinks,0,0,1),0),"Person ",PersonLookup,2)))</f>
        <v/>
      </c>
      <c r="FN53" s="2" t="str">
        <f ca="1">IF(FN$41="","",TEXTJOINARRAY("|",TRUE,FINDLINKS(DatasetLinks,MATCH("Dataset "&amp;MINDS!FN$55,OFFSET(DatasetLinks,0,0,1),0),"Person ",PersonLookup,2)))</f>
        <v/>
      </c>
      <c r="FO53" s="2" t="str">
        <f ca="1">IF(FO$41="","",TEXTJOINARRAY("|",TRUE,FINDLINKS(DatasetLinks,MATCH("Dataset "&amp;MINDS!FO$55,OFFSET(DatasetLinks,0,0,1),0),"Person ",PersonLookup,2)))</f>
        <v/>
      </c>
      <c r="FP53" s="2" t="str">
        <f ca="1">IF(FP$41="","",TEXTJOINARRAY("|",TRUE,FINDLINKS(DatasetLinks,MATCH("Dataset "&amp;MINDS!FP$55,OFFSET(DatasetLinks,0,0,1),0),"Person ",PersonLookup,2)))</f>
        <v/>
      </c>
      <c r="FQ53" s="2" t="str">
        <f ca="1">IF(FQ$41="","",TEXTJOINARRAY("|",TRUE,FINDLINKS(DatasetLinks,MATCH("Dataset "&amp;MINDS!FQ$55,OFFSET(DatasetLinks,0,0,1),0),"Person ",PersonLookup,2)))</f>
        <v/>
      </c>
      <c r="FR53" s="2" t="str">
        <f ca="1">IF(FR$41="","",TEXTJOINARRAY("|",TRUE,FINDLINKS(DatasetLinks,MATCH("Dataset "&amp;MINDS!FR$55,OFFSET(DatasetLinks,0,0,1),0),"Person ",PersonLookup,2)))</f>
        <v/>
      </c>
      <c r="FS53" s="2" t="str">
        <f ca="1">IF(FS$41="","",TEXTJOINARRAY("|",TRUE,FINDLINKS(DatasetLinks,MATCH("Dataset "&amp;MINDS!FS$55,OFFSET(DatasetLinks,0,0,1),0),"Person ",PersonLookup,2)))</f>
        <v/>
      </c>
      <c r="FT53" s="2" t="str">
        <f ca="1">IF(FT$41="","",TEXTJOINARRAY("|",TRUE,FINDLINKS(DatasetLinks,MATCH("Dataset "&amp;MINDS!FT$55,OFFSET(DatasetLinks,0,0,1),0),"Person ",PersonLookup,2)))</f>
        <v/>
      </c>
      <c r="FU53" s="2" t="str">
        <f ca="1">IF(FU$41="","",TEXTJOINARRAY("|",TRUE,FINDLINKS(DatasetLinks,MATCH("Dataset "&amp;MINDS!FU$55,OFFSET(DatasetLinks,0,0,1),0),"Person ",PersonLookup,2)))</f>
        <v/>
      </c>
      <c r="FV53" s="2" t="str">
        <f ca="1">IF(FV$41="","",TEXTJOINARRAY("|",TRUE,FINDLINKS(DatasetLinks,MATCH("Dataset "&amp;MINDS!FV$55,OFFSET(DatasetLinks,0,0,1),0),"Person ",PersonLookup,2)))</f>
        <v/>
      </c>
      <c r="FW53" s="2" t="str">
        <f ca="1">IF(FW$41="","",TEXTJOINARRAY("|",TRUE,FINDLINKS(DatasetLinks,MATCH("Dataset "&amp;MINDS!FW$55,OFFSET(DatasetLinks,0,0,1),0),"Person ",PersonLookup,2)))</f>
        <v/>
      </c>
      <c r="FX53" s="2" t="str">
        <f ca="1">IF(FX$41="","",TEXTJOINARRAY("|",TRUE,FINDLINKS(DatasetLinks,MATCH("Dataset "&amp;MINDS!FX$55,OFFSET(DatasetLinks,0,0,1),0),"Person ",PersonLookup,2)))</f>
        <v/>
      </c>
      <c r="FY53" s="2" t="str">
        <f ca="1">IF(FY$41="","",TEXTJOINARRAY("|",TRUE,FINDLINKS(DatasetLinks,MATCH("Dataset "&amp;MINDS!FY$55,OFFSET(DatasetLinks,0,0,1),0),"Person ",PersonLookup,2)))</f>
        <v/>
      </c>
      <c r="FZ53" s="2" t="str">
        <f ca="1">IF(FZ$41="","",TEXTJOINARRAY("|",TRUE,FINDLINKS(DatasetLinks,MATCH("Dataset "&amp;MINDS!FZ$55,OFFSET(DatasetLinks,0,0,1),0),"Person ",PersonLookup,2)))</f>
        <v/>
      </c>
      <c r="GA53" s="2" t="str">
        <f ca="1">IF(GA$41="","",TEXTJOINARRAY("|",TRUE,FINDLINKS(DatasetLinks,MATCH("Dataset "&amp;MINDS!GA$55,OFFSET(DatasetLinks,0,0,1),0),"Person ",PersonLookup,2)))</f>
        <v/>
      </c>
      <c r="GB53" s="2" t="str">
        <f ca="1">IF(GB$41="","",TEXTJOINARRAY("|",TRUE,FINDLINKS(DatasetLinks,MATCH("Dataset "&amp;MINDS!GB$55,OFFSET(DatasetLinks,0,0,1),0),"Person ",PersonLookup,2)))</f>
        <v/>
      </c>
      <c r="GC53" s="2" t="str">
        <f ca="1">IF(GC$41="","",TEXTJOINARRAY("|",TRUE,FINDLINKS(DatasetLinks,MATCH("Dataset "&amp;MINDS!GC$55,OFFSET(DatasetLinks,0,0,1),0),"Person ",PersonLookup,2)))</f>
        <v/>
      </c>
      <c r="GD53" s="2" t="str">
        <f ca="1">IF(GD$41="","",TEXTJOINARRAY("|",TRUE,FINDLINKS(DatasetLinks,MATCH("Dataset "&amp;MINDS!GD$55,OFFSET(DatasetLinks,0,0,1),0),"Person ",PersonLookup,2)))</f>
        <v/>
      </c>
      <c r="GE53" s="2" t="str">
        <f ca="1">IF(GE$41="","",TEXTJOINARRAY("|",TRUE,FINDLINKS(DatasetLinks,MATCH("Dataset "&amp;MINDS!GE$55,OFFSET(DatasetLinks,0,0,1),0),"Person ",PersonLookup,2)))</f>
        <v/>
      </c>
      <c r="GF53" s="2" t="str">
        <f ca="1">IF(GF$41="","",TEXTJOINARRAY("|",TRUE,FINDLINKS(DatasetLinks,MATCH("Dataset "&amp;MINDS!GF$55,OFFSET(DatasetLinks,0,0,1),0),"Person ",PersonLookup,2)))</f>
        <v/>
      </c>
      <c r="GG53" s="2" t="str">
        <f ca="1">IF(GG$41="","",TEXTJOINARRAY("|",TRUE,FINDLINKS(DatasetLinks,MATCH("Dataset "&amp;MINDS!GG$55,OFFSET(DatasetLinks,0,0,1),0),"Person ",PersonLookup,2)))</f>
        <v/>
      </c>
      <c r="GH53" s="2" t="str">
        <f ca="1">IF(GH$41="","",TEXTJOINARRAY("|",TRUE,FINDLINKS(DatasetLinks,MATCH("Dataset "&amp;MINDS!GH$55,OFFSET(DatasetLinks,0,0,1),0),"Person ",PersonLookup,2)))</f>
        <v/>
      </c>
      <c r="GI53" s="2" t="str">
        <f ca="1">IF(GI$41="","",TEXTJOINARRAY("|",TRUE,FINDLINKS(DatasetLinks,MATCH("Dataset "&amp;MINDS!GI$55,OFFSET(DatasetLinks,0,0,1),0),"Person ",PersonLookup,2)))</f>
        <v/>
      </c>
      <c r="GJ53" s="2" t="str">
        <f ca="1">IF(GJ$41="","",TEXTJOINARRAY("|",TRUE,FINDLINKS(DatasetLinks,MATCH("Dataset "&amp;MINDS!GJ$55,OFFSET(DatasetLinks,0,0,1),0),"Person ",PersonLookup,2)))</f>
        <v/>
      </c>
      <c r="GK53" s="2" t="str">
        <f ca="1">IF(GK$41="","",TEXTJOINARRAY("|",TRUE,FINDLINKS(DatasetLinks,MATCH("Dataset "&amp;MINDS!GK$55,OFFSET(DatasetLinks,0,0,1),0),"Person ",PersonLookup,2)))</f>
        <v/>
      </c>
      <c r="GL53" s="2" t="str">
        <f ca="1">IF(GL$41="","",TEXTJOINARRAY("|",TRUE,FINDLINKS(DatasetLinks,MATCH("Dataset "&amp;MINDS!GL$55,OFFSET(DatasetLinks,0,0,1),0),"Person ",PersonLookup,2)))</f>
        <v/>
      </c>
      <c r="GM53" s="2" t="str">
        <f ca="1">IF(GM$41="","",TEXTJOINARRAY("|",TRUE,FINDLINKS(DatasetLinks,MATCH("Dataset "&amp;MINDS!GM$55,OFFSET(DatasetLinks,0,0,1),0),"Person ",PersonLookup,2)))</f>
        <v/>
      </c>
      <c r="GN53" s="2" t="str">
        <f ca="1">IF(GN$41="","",TEXTJOINARRAY("|",TRUE,FINDLINKS(DatasetLinks,MATCH("Dataset "&amp;MINDS!GN$55,OFFSET(DatasetLinks,0,0,1),0),"Person ",PersonLookup,2)))</f>
        <v/>
      </c>
      <c r="GO53" s="2" t="str">
        <f ca="1">IF(GO$41="","",TEXTJOINARRAY("|",TRUE,FINDLINKS(DatasetLinks,MATCH("Dataset "&amp;MINDS!GO$55,OFFSET(DatasetLinks,0,0,1),0),"Person ",PersonLookup,2)))</f>
        <v/>
      </c>
      <c r="GP53" s="2" t="str">
        <f ca="1">IF(GP$41="","",TEXTJOINARRAY("|",TRUE,FINDLINKS(DatasetLinks,MATCH("Dataset "&amp;MINDS!GP$55,OFFSET(DatasetLinks,0,0,1),0),"Person ",PersonLookup,2)))</f>
        <v/>
      </c>
      <c r="GQ53" s="2" t="str">
        <f ca="1">IF(GQ$41="","",TEXTJOINARRAY("|",TRUE,FINDLINKS(DatasetLinks,MATCH("Dataset "&amp;MINDS!GQ$55,OFFSET(DatasetLinks,0,0,1),0),"Person ",PersonLookup,2)))</f>
        <v/>
      </c>
      <c r="GR53" s="2" t="str">
        <f ca="1">IF(GR$41="","",TEXTJOINARRAY("|",TRUE,FINDLINKS(DatasetLinks,MATCH("Dataset "&amp;MINDS!GR$55,OFFSET(DatasetLinks,0,0,1),0),"Person ",PersonLookup,2)))</f>
        <v/>
      </c>
      <c r="GS53" s="2" t="str">
        <f ca="1">IF(GS$41="","",TEXTJOINARRAY("|",TRUE,FINDLINKS(DatasetLinks,MATCH("Dataset "&amp;MINDS!GS$55,OFFSET(DatasetLinks,0,0,1),0),"Person ",PersonLookup,2)))</f>
        <v/>
      </c>
      <c r="GT53" s="2" t="str">
        <f ca="1">IF(GT$41="","",TEXTJOINARRAY("|",TRUE,FINDLINKS(DatasetLinks,MATCH("Dataset "&amp;MINDS!GT$55,OFFSET(DatasetLinks,0,0,1),0),"Person ",PersonLookup,2)))</f>
        <v/>
      </c>
      <c r="GU53" s="2" t="str">
        <f ca="1">IF(GU$41="","",TEXTJOINARRAY("|",TRUE,FINDLINKS(DatasetLinks,MATCH("Dataset "&amp;MINDS!GU$55,OFFSET(DatasetLinks,0,0,1),0),"Person ",PersonLookup,2)))</f>
        <v/>
      </c>
      <c r="GV53" s="2" t="str">
        <f ca="1">IF(GV$41="","",TEXTJOINARRAY("|",TRUE,FINDLINKS(DatasetLinks,MATCH("Dataset "&amp;MINDS!GV$55,OFFSET(DatasetLinks,0,0,1),0),"Person ",PersonLookup,2)))</f>
        <v/>
      </c>
      <c r="GW53" s="2" t="str">
        <f ca="1">IF(GW$41="","",TEXTJOINARRAY("|",TRUE,FINDLINKS(DatasetLinks,MATCH("Dataset "&amp;MINDS!GW$55,OFFSET(DatasetLinks,0,0,1),0),"Person ",PersonLookup,2)))</f>
        <v/>
      </c>
      <c r="GX53" s="2" t="str">
        <f ca="1">IF(GX$41="","",TEXTJOINARRAY("|",TRUE,FINDLINKS(DatasetLinks,MATCH("Dataset "&amp;MINDS!GX$55,OFFSET(DatasetLinks,0,0,1),0),"Person ",PersonLookup,2)))</f>
        <v/>
      </c>
      <c r="GY53" s="2" t="str">
        <f ca="1">IF(GY$41="","",TEXTJOINARRAY("|",TRUE,FINDLINKS(DatasetLinks,MATCH("Dataset "&amp;MINDS!GY$55,OFFSET(DatasetLinks,0,0,1),0),"Person ",PersonLookup,2)))</f>
        <v/>
      </c>
      <c r="GZ53" s="2" t="str">
        <f ca="1">IF(GZ$41="","",TEXTJOINARRAY("|",TRUE,FINDLINKS(DatasetLinks,MATCH("Dataset "&amp;MINDS!GZ$55,OFFSET(DatasetLinks,0,0,1),0),"Person ",PersonLookup,2)))</f>
        <v/>
      </c>
      <c r="HA53" s="2" t="str">
        <f ca="1">IF(HA$41="","",TEXTJOINARRAY("|",TRUE,FINDLINKS(DatasetLinks,MATCH("Dataset "&amp;MINDS!HA$55,OFFSET(DatasetLinks,0,0,1),0),"Person ",PersonLookup,2)))</f>
        <v/>
      </c>
      <c r="HB53" s="2" t="str">
        <f ca="1">IF(HB$41="","",TEXTJOINARRAY("|",TRUE,FINDLINKS(DatasetLinks,MATCH("Dataset "&amp;MINDS!HB$55,OFFSET(DatasetLinks,0,0,1),0),"Person ",PersonLookup,2)))</f>
        <v/>
      </c>
      <c r="HC53" s="2" t="str">
        <f ca="1">IF(HC$41="","",TEXTJOINARRAY("|",TRUE,FINDLINKS(DatasetLinks,MATCH("Dataset "&amp;MINDS!HC$55,OFFSET(DatasetLinks,0,0,1),0),"Person ",PersonLookup,2)))</f>
        <v/>
      </c>
      <c r="HD53" s="2" t="str">
        <f ca="1">IF(HD$41="","",TEXTJOINARRAY("|",TRUE,FINDLINKS(DatasetLinks,MATCH("Dataset "&amp;MINDS!HD$55,OFFSET(DatasetLinks,0,0,1),0),"Person ",PersonLookup,2)))</f>
        <v/>
      </c>
      <c r="HE53" s="2" t="str">
        <f ca="1">IF(HE$41="","",TEXTJOINARRAY("|",TRUE,FINDLINKS(DatasetLinks,MATCH("Dataset "&amp;MINDS!HE$55,OFFSET(DatasetLinks,0,0,1),0),"Person ",PersonLookup,2)))</f>
        <v/>
      </c>
      <c r="HF53" s="2" t="str">
        <f ca="1">IF(HF$41="","",TEXTJOINARRAY("|",TRUE,FINDLINKS(DatasetLinks,MATCH("Dataset "&amp;MINDS!HF$55,OFFSET(DatasetLinks,0,0,1),0),"Person ",PersonLookup,2)))</f>
        <v/>
      </c>
      <c r="HG53" s="2" t="str">
        <f ca="1">IF(HG$41="","",TEXTJOINARRAY("|",TRUE,FINDLINKS(DatasetLinks,MATCH("Dataset "&amp;MINDS!HG$55,OFFSET(DatasetLinks,0,0,1),0),"Person ",PersonLookup,2)))</f>
        <v/>
      </c>
      <c r="HH53" s="2" t="str">
        <f ca="1">IF(HH$41="","",TEXTJOINARRAY("|",TRUE,FINDLINKS(DatasetLinks,MATCH("Dataset "&amp;MINDS!HH$55,OFFSET(DatasetLinks,0,0,1),0),"Person ",PersonLookup,2)))</f>
        <v/>
      </c>
      <c r="HI53" s="2" t="str">
        <f ca="1">IF(HI$41="","",TEXTJOINARRAY("|",TRUE,FINDLINKS(DatasetLinks,MATCH("Dataset "&amp;MINDS!HI$55,OFFSET(DatasetLinks,0,0,1),0),"Person ",PersonLookup,2)))</f>
        <v/>
      </c>
      <c r="HJ53" s="2" t="str">
        <f ca="1">IF(HJ$41="","",TEXTJOINARRAY("|",TRUE,FINDLINKS(DatasetLinks,MATCH("Dataset "&amp;MINDS!HJ$55,OFFSET(DatasetLinks,0,0,1),0),"Person ",PersonLookup,2)))</f>
        <v/>
      </c>
      <c r="HK53" s="2" t="str">
        <f ca="1">IF(HK$41="","",TEXTJOINARRAY("|",TRUE,FINDLINKS(DatasetLinks,MATCH("Dataset "&amp;MINDS!HK$55,OFFSET(DatasetLinks,0,0,1),0),"Person ",PersonLookup,2)))</f>
        <v/>
      </c>
      <c r="HL53" s="2" t="str">
        <f ca="1">IF(HL$41="","",TEXTJOINARRAY("|",TRUE,FINDLINKS(DatasetLinks,MATCH("Dataset "&amp;MINDS!HL$55,OFFSET(DatasetLinks,0,0,1),0),"Person ",PersonLookup,2)))</f>
        <v/>
      </c>
      <c r="HM53" s="2" t="str">
        <f ca="1">IF(HM$41="","",TEXTJOINARRAY("|",TRUE,FINDLINKS(DatasetLinks,MATCH("Dataset "&amp;MINDS!HM$55,OFFSET(DatasetLinks,0,0,1),0),"Person ",PersonLookup,2)))</f>
        <v/>
      </c>
      <c r="HN53" s="2" t="str">
        <f ca="1">IF(HN$41="","",TEXTJOINARRAY("|",TRUE,FINDLINKS(DatasetLinks,MATCH("Dataset "&amp;MINDS!HN$55,OFFSET(DatasetLinks,0,0,1),0),"Person ",PersonLookup,2)))</f>
        <v/>
      </c>
      <c r="HO53" s="2" t="str">
        <f ca="1">IF(HO$41="","",TEXTJOINARRAY("|",TRUE,FINDLINKS(DatasetLinks,MATCH("Dataset "&amp;MINDS!HO$55,OFFSET(DatasetLinks,0,0,1),0),"Person ",PersonLookup,2)))</f>
        <v/>
      </c>
      <c r="HP53" s="2" t="str">
        <f ca="1">IF(HP$41="","",TEXTJOINARRAY("|",TRUE,FINDLINKS(DatasetLinks,MATCH("Dataset "&amp;MINDS!HP$55,OFFSET(DatasetLinks,0,0,1),0),"Person ",PersonLookup,2)))</f>
        <v/>
      </c>
      <c r="HQ53" s="2" t="str">
        <f ca="1">IF(HQ$41="","",TEXTJOINARRAY("|",TRUE,FINDLINKS(DatasetLinks,MATCH("Dataset "&amp;MINDS!HQ$55,OFFSET(DatasetLinks,0,0,1),0),"Person ",PersonLookup,2)))</f>
        <v/>
      </c>
      <c r="HR53" s="2" t="str">
        <f ca="1">IF(HR$41="","",TEXTJOINARRAY("|",TRUE,FINDLINKS(DatasetLinks,MATCH("Dataset "&amp;MINDS!HR$55,OFFSET(DatasetLinks,0,0,1),0),"Person ",PersonLookup,2)))</f>
        <v/>
      </c>
      <c r="HS53" s="2" t="str">
        <f ca="1">IF(HS$41="","",TEXTJOINARRAY("|",TRUE,FINDLINKS(DatasetLinks,MATCH("Dataset "&amp;MINDS!HS$55,OFFSET(DatasetLinks,0,0,1),0),"Person ",PersonLookup,2)))</f>
        <v/>
      </c>
      <c r="HT53" s="2" t="str">
        <f ca="1">IF(HT$41="","",TEXTJOINARRAY("|",TRUE,FINDLINKS(DatasetLinks,MATCH("Dataset "&amp;MINDS!HT$55,OFFSET(DatasetLinks,0,0,1),0),"Person ",PersonLookup,2)))</f>
        <v/>
      </c>
      <c r="HU53" s="2" t="str">
        <f ca="1">IF(HU$41="","",TEXTJOINARRAY("|",TRUE,FINDLINKS(DatasetLinks,MATCH("Dataset "&amp;MINDS!HU$55,OFFSET(DatasetLinks,0,0,1),0),"Person ",PersonLookup,2)))</f>
        <v/>
      </c>
      <c r="HV53" s="2" t="str">
        <f ca="1">IF(HV$41="","",TEXTJOINARRAY("|",TRUE,FINDLINKS(DatasetLinks,MATCH("Dataset "&amp;MINDS!HV$55,OFFSET(DatasetLinks,0,0,1),0),"Person ",PersonLookup,2)))</f>
        <v/>
      </c>
      <c r="HW53" s="2" t="str">
        <f ca="1">IF(HW$41="","",TEXTJOINARRAY("|",TRUE,FINDLINKS(DatasetLinks,MATCH("Dataset "&amp;MINDS!HW$55,OFFSET(DatasetLinks,0,0,1),0),"Person ",PersonLookup,2)))</f>
        <v/>
      </c>
      <c r="HX53" s="2" t="str">
        <f ca="1">IF(HX$41="","",TEXTJOINARRAY("|",TRUE,FINDLINKS(DatasetLinks,MATCH("Dataset "&amp;MINDS!HX$55,OFFSET(DatasetLinks,0,0,1),0),"Person ",PersonLookup,2)))</f>
        <v/>
      </c>
      <c r="HY53" s="2" t="str">
        <f ca="1">IF(HY$41="","",TEXTJOINARRAY("|",TRUE,FINDLINKS(DatasetLinks,MATCH("Dataset "&amp;MINDS!HY$55,OFFSET(DatasetLinks,0,0,1),0),"Person ",PersonLookup,2)))</f>
        <v/>
      </c>
      <c r="HZ53" s="2" t="str">
        <f ca="1">IF(HZ$41="","",TEXTJOINARRAY("|",TRUE,FINDLINKS(DatasetLinks,MATCH("Dataset "&amp;MINDS!HZ$55,OFFSET(DatasetLinks,0,0,1),0),"Person ",PersonLookup,2)))</f>
        <v/>
      </c>
      <c r="IA53" s="2" t="str">
        <f ca="1">IF(IA$41="","",TEXTJOINARRAY("|",TRUE,FINDLINKS(DatasetLinks,MATCH("Dataset "&amp;MINDS!IA$55,OFFSET(DatasetLinks,0,0,1),0),"Person ",PersonLookup,2)))</f>
        <v/>
      </c>
      <c r="IB53" s="2" t="str">
        <f ca="1">IF(IB$41="","",TEXTJOINARRAY("|",TRUE,FINDLINKS(DatasetLinks,MATCH("Dataset "&amp;MINDS!IB$55,OFFSET(DatasetLinks,0,0,1),0),"Person ",PersonLookup,2)))</f>
        <v/>
      </c>
      <c r="IC53" s="2" t="str">
        <f ca="1">IF(IC$41="","",TEXTJOINARRAY("|",TRUE,FINDLINKS(DatasetLinks,MATCH("Dataset "&amp;MINDS!IC$55,OFFSET(DatasetLinks,0,0,1),0),"Person ",PersonLookup,2)))</f>
        <v/>
      </c>
      <c r="ID53" s="2" t="str">
        <f ca="1">IF(ID$41="","",TEXTJOINARRAY("|",TRUE,FINDLINKS(DatasetLinks,MATCH("Dataset "&amp;MINDS!ID$55,OFFSET(DatasetLinks,0,0,1),0),"Person ",PersonLookup,2)))</f>
        <v/>
      </c>
      <c r="IE53" s="2" t="str">
        <f ca="1">IF(IE$41="","",TEXTJOINARRAY("|",TRUE,FINDLINKS(DatasetLinks,MATCH("Dataset "&amp;MINDS!IE$55,OFFSET(DatasetLinks,0,0,1),0),"Person ",PersonLookup,2)))</f>
        <v/>
      </c>
      <c r="IF53" s="2" t="str">
        <f ca="1">IF(IF$41="","",TEXTJOINARRAY("|",TRUE,FINDLINKS(DatasetLinks,MATCH("Dataset "&amp;MINDS!IF$55,OFFSET(DatasetLinks,0,0,1),0),"Person ",PersonLookup,2)))</f>
        <v/>
      </c>
      <c r="IG53" s="2" t="str">
        <f ca="1">IF(IG$41="","",TEXTJOINARRAY("|",TRUE,FINDLINKS(DatasetLinks,MATCH("Dataset "&amp;MINDS!IG$55,OFFSET(DatasetLinks,0,0,1),0),"Person ",PersonLookup,2)))</f>
        <v/>
      </c>
      <c r="IH53" s="2" t="str">
        <f ca="1">IF(IH$41="","",TEXTJOINARRAY("|",TRUE,FINDLINKS(DatasetLinks,MATCH("Dataset "&amp;MINDS!IH$55,OFFSET(DatasetLinks,0,0,1),0),"Person ",PersonLookup,2)))</f>
        <v/>
      </c>
      <c r="II53" s="2" t="str">
        <f ca="1">IF(II$41="","",TEXTJOINARRAY("|",TRUE,FINDLINKS(DatasetLinks,MATCH("Dataset "&amp;MINDS!II$55,OFFSET(DatasetLinks,0,0,1),0),"Person ",PersonLookup,2)))</f>
        <v/>
      </c>
      <c r="IJ53" s="2" t="str">
        <f ca="1">IF(IJ$41="","",TEXTJOINARRAY("|",TRUE,FINDLINKS(DatasetLinks,MATCH("Dataset "&amp;MINDS!IJ$55,OFFSET(DatasetLinks,0,0,1),0),"Person ",PersonLookup,2)))</f>
        <v/>
      </c>
      <c r="IK53" s="2" t="str">
        <f ca="1">IF(IK$41="","",TEXTJOINARRAY("|",TRUE,FINDLINKS(DatasetLinks,MATCH("Dataset "&amp;MINDS!IK$55,OFFSET(DatasetLinks,0,0,1),0),"Person ",PersonLookup,2)))</f>
        <v/>
      </c>
      <c r="IL53" s="2" t="str">
        <f ca="1">IF(IL$41="","",TEXTJOINARRAY("|",TRUE,FINDLINKS(DatasetLinks,MATCH("Dataset "&amp;MINDS!IL$55,OFFSET(DatasetLinks,0,0,1),0),"Person ",PersonLookup,2)))</f>
        <v/>
      </c>
      <c r="IM53" s="2" t="str">
        <f ca="1">IF(IM$41="","",TEXTJOINARRAY("|",TRUE,FINDLINKS(DatasetLinks,MATCH("Dataset "&amp;MINDS!IM$55,OFFSET(DatasetLinks,0,0,1),0),"Person ",PersonLookup,2)))</f>
        <v/>
      </c>
      <c r="IN53" s="2" t="str">
        <f ca="1">IF(IN$41="","",TEXTJOINARRAY("|",TRUE,FINDLINKS(DatasetLinks,MATCH("Dataset "&amp;MINDS!IN$55,OFFSET(DatasetLinks,0,0,1),0),"Person ",PersonLookup,2)))</f>
        <v/>
      </c>
      <c r="IO53" s="2" t="str">
        <f ca="1">IF(IO$41="","",TEXTJOINARRAY("|",TRUE,FINDLINKS(DatasetLinks,MATCH("Dataset "&amp;MINDS!IO$55,OFFSET(DatasetLinks,0,0,1),0),"Person ",PersonLookup,2)))</f>
        <v/>
      </c>
      <c r="IP53" s="2" t="str">
        <f ca="1">IF(IP$41="","",TEXTJOINARRAY("|",TRUE,FINDLINKS(DatasetLinks,MATCH("Dataset "&amp;MINDS!IP$55,OFFSET(DatasetLinks,0,0,1),0),"Person ",PersonLookup,2)))</f>
        <v/>
      </c>
      <c r="IQ53" s="2" t="str">
        <f ca="1">IF(IQ$41="","",TEXTJOINARRAY("|",TRUE,FINDLINKS(DatasetLinks,MATCH("Dataset "&amp;MINDS!IQ$55,OFFSET(DatasetLinks,0,0,1),0),"Person ",PersonLookup,2)))</f>
        <v/>
      </c>
      <c r="IR53" s="2" t="str">
        <f ca="1">IF(IR$41="","",TEXTJOINARRAY("|",TRUE,FINDLINKS(DatasetLinks,MATCH("Dataset "&amp;MINDS!IR$55,OFFSET(DatasetLinks,0,0,1),0),"Person ",PersonLookup,2)))</f>
        <v/>
      </c>
      <c r="IS53" s="2" t="str">
        <f ca="1">IF(IS$41="","",TEXTJOINARRAY("|",TRUE,FINDLINKS(DatasetLinks,MATCH("Dataset "&amp;MINDS!IS$55,OFFSET(DatasetLinks,0,0,1),0),"Person ",PersonLookup,2)))</f>
        <v/>
      </c>
      <c r="IT53" s="2" t="str">
        <f ca="1">IF(IT$41="","",TEXTJOINARRAY("|",TRUE,FINDLINKS(DatasetLinks,MATCH("Dataset "&amp;MINDS!IT$55,OFFSET(DatasetLinks,0,0,1),0),"Person ",PersonLookup,2)))</f>
        <v/>
      </c>
      <c r="IU53" s="2" t="str">
        <f ca="1">IF(IU$41="","",TEXTJOINARRAY("|",TRUE,FINDLINKS(DatasetLinks,MATCH("Dataset "&amp;MINDS!IU$55,OFFSET(DatasetLinks,0,0,1),0),"Person ",PersonLookup,2)))</f>
        <v/>
      </c>
      <c r="IV53" s="2" t="str">
        <f ca="1">IF(IV$41="","",TEXTJOINARRAY("|",TRUE,FINDLINKS(DatasetLinks,MATCH("Dataset "&amp;MINDS!IV$55,OFFSET(DatasetLinks,0,0,1),0),"Person ",PersonLookup,2)))</f>
        <v/>
      </c>
    </row>
    <row r="54" spans="1:256" x14ac:dyDescent="0.2">
      <c r="A54" s="3" t="s">
        <v>19</v>
      </c>
      <c r="C54" s="2" t="str">
        <f ca="1">IF(C$41="","",TEXTJOINARRAY("|",TRUE,FINDLINKS(DatasetLinks,MATCH("Dataset "&amp;MINDS!C$55,OFFSET(DatasetLinks,0,0,1),0), "File ", FileLookup, 5)))</f>
        <v/>
      </c>
      <c r="D54" s="2" t="str">
        <f ca="1">IF(D$41="","",TEXTJOINARRAY("|",TRUE,FINDLINKS(DatasetLinks,MATCH("Dataset "&amp;MINDS!D$55,OFFSET(DatasetLinks,0,0,1),0), "File ", FileLookup, 5)))</f>
        <v/>
      </c>
      <c r="E54" s="2" t="str">
        <f ca="1">IF(E$41="","",TEXTJOINARRAY("|",TRUE,FINDLINKS(DatasetLinks,MATCH("Dataset "&amp;MINDS!E$55,OFFSET(DatasetLinks,0,0,1),0), "File ", FileLookup, 5)))</f>
        <v/>
      </c>
      <c r="F54" s="2" t="str">
        <f ca="1">IF(F$41="","",TEXTJOINARRAY("|",TRUE,FINDLINKS(DatasetLinks,MATCH("Dataset "&amp;MINDS!F$55,OFFSET(DatasetLinks,0,0,1),0), "File ", FileLookup, 5)))</f>
        <v/>
      </c>
      <c r="G54" s="2" t="str">
        <f ca="1">IF(G$41="","",TEXTJOINARRAY("|",TRUE,FINDLINKS(DatasetLinks,MATCH("Dataset "&amp;MINDS!G$55,OFFSET(DatasetLinks,0,0,1),0), "File ", FileLookup, 5)))</f>
        <v/>
      </c>
      <c r="H54" s="2" t="str">
        <f ca="1">IF(H$41="","",TEXTJOINARRAY("|",TRUE,FINDLINKS(DatasetLinks,MATCH("Dataset "&amp;MINDS!H$55,OFFSET(DatasetLinks,0,0,1),0), "File ", FileLookup, 5)))</f>
        <v/>
      </c>
      <c r="I54" s="2" t="str">
        <f ca="1">IF(I$41="","",TEXTJOINARRAY("|",TRUE,FINDLINKS(DatasetLinks,MATCH("Dataset "&amp;MINDS!I$55,OFFSET(DatasetLinks,0,0,1),0), "File ", FileLookup, 5)))</f>
        <v/>
      </c>
      <c r="J54" s="2" t="str">
        <f ca="1">IF(J$41="","",TEXTJOINARRAY("|",TRUE,FINDLINKS(DatasetLinks,MATCH("Dataset "&amp;MINDS!J$55,OFFSET(DatasetLinks,0,0,1),0), "File ", FileLookup, 5)))</f>
        <v/>
      </c>
      <c r="K54" s="2" t="str">
        <f ca="1">IF(K$41="","",TEXTJOINARRAY("|",TRUE,FINDLINKS(DatasetLinks,MATCH("Dataset "&amp;MINDS!K$55,OFFSET(DatasetLinks,0,0,1),0), "File ", FileLookup, 5)))</f>
        <v/>
      </c>
      <c r="L54" s="2" t="str">
        <f ca="1">IF(L$41="","",TEXTJOINARRAY("|",TRUE,FINDLINKS(DatasetLinks,MATCH("Dataset "&amp;MINDS!L$55,OFFSET(DatasetLinks,0,0,1),0), "File ", FileLookup, 5)))</f>
        <v/>
      </c>
      <c r="M54" s="2" t="str">
        <f ca="1">IF(M$41="","",TEXTJOINARRAY("|",TRUE,FINDLINKS(DatasetLinks,MATCH("Dataset "&amp;MINDS!M$55,OFFSET(DatasetLinks,0,0,1),0), "File ", FileLookup, 5)))</f>
        <v/>
      </c>
      <c r="N54" s="2" t="str">
        <f ca="1">IF(N$41="","",TEXTJOINARRAY("|",TRUE,FINDLINKS(DatasetLinks,MATCH("Dataset "&amp;MINDS!N$55,OFFSET(DatasetLinks,0,0,1),0), "File ", FileLookup, 5)))</f>
        <v/>
      </c>
      <c r="O54" s="2" t="str">
        <f ca="1">IF(O$41="","",TEXTJOINARRAY("|",TRUE,FINDLINKS(DatasetLinks,MATCH("Dataset "&amp;MINDS!O$55,OFFSET(DatasetLinks,0,0,1),0), "File ", FileLookup, 5)))</f>
        <v/>
      </c>
      <c r="P54" s="2" t="str">
        <f ca="1">IF(P$41="","",TEXTJOINARRAY("|",TRUE,FINDLINKS(DatasetLinks,MATCH("Dataset "&amp;MINDS!P$55,OFFSET(DatasetLinks,0,0,1),0), "File ", FileLookup, 5)))</f>
        <v/>
      </c>
      <c r="Q54" s="2" t="str">
        <f ca="1">IF(Q$41="","",TEXTJOINARRAY("|",TRUE,FINDLINKS(DatasetLinks,MATCH("Dataset "&amp;MINDS!Q$55,OFFSET(DatasetLinks,0,0,1),0), "File ", FileLookup, 5)))</f>
        <v/>
      </c>
      <c r="R54" s="2" t="str">
        <f ca="1">IF(R$41="","",TEXTJOINARRAY("|",TRUE,FINDLINKS(DatasetLinks,MATCH("Dataset "&amp;MINDS!R$55,OFFSET(DatasetLinks,0,0,1),0), "File ", FileLookup, 5)))</f>
        <v/>
      </c>
      <c r="S54" s="2" t="str">
        <f ca="1">IF(S$41="","",TEXTJOINARRAY("|",TRUE,FINDLINKS(DatasetLinks,MATCH("Dataset "&amp;MINDS!S$55,OFFSET(DatasetLinks,0,0,1),0), "File ", FileLookup, 5)))</f>
        <v/>
      </c>
      <c r="T54" s="2" t="str">
        <f ca="1">IF(T$41="","",TEXTJOINARRAY("|",TRUE,FINDLINKS(DatasetLinks,MATCH("Dataset "&amp;MINDS!T$55,OFFSET(DatasetLinks,0,0,1),0), "File ", FileLookup, 5)))</f>
        <v/>
      </c>
      <c r="U54" s="2" t="str">
        <f ca="1">IF(U$41="","",TEXTJOINARRAY("|",TRUE,FINDLINKS(DatasetLinks,MATCH("Dataset "&amp;MINDS!U$55,OFFSET(DatasetLinks,0,0,1),0), "File ", FileLookup, 5)))</f>
        <v/>
      </c>
      <c r="V54" s="2" t="str">
        <f ca="1">IF(V$41="","",TEXTJOINARRAY("|",TRUE,FINDLINKS(DatasetLinks,MATCH("Dataset "&amp;MINDS!V$55,OFFSET(DatasetLinks,0,0,1),0), "File ", FileLookup, 5)))</f>
        <v/>
      </c>
      <c r="W54" s="2" t="str">
        <f ca="1">IF(W$41="","",TEXTJOINARRAY("|",TRUE,FINDLINKS(DatasetLinks,MATCH("Dataset "&amp;MINDS!W$55,OFFSET(DatasetLinks,0,0,1),0), "File ", FileLookup, 5)))</f>
        <v/>
      </c>
      <c r="X54" s="2" t="str">
        <f ca="1">IF(X$41="","",TEXTJOINARRAY("|",TRUE,FINDLINKS(DatasetLinks,MATCH("Dataset "&amp;MINDS!X$55,OFFSET(DatasetLinks,0,0,1),0), "File ", FileLookup, 5)))</f>
        <v/>
      </c>
      <c r="Y54" s="2" t="str">
        <f ca="1">IF(Y$41="","",TEXTJOINARRAY("|",TRUE,FINDLINKS(DatasetLinks,MATCH("Dataset "&amp;MINDS!Y$55,OFFSET(DatasetLinks,0,0,1),0), "File ", FileLookup, 5)))</f>
        <v/>
      </c>
      <c r="Z54" s="2" t="str">
        <f ca="1">IF(Z$41="","",TEXTJOINARRAY("|",TRUE,FINDLINKS(DatasetLinks,MATCH("Dataset "&amp;MINDS!Z$55,OFFSET(DatasetLinks,0,0,1),0), "File ", FileLookup, 5)))</f>
        <v/>
      </c>
      <c r="AA54" s="2" t="str">
        <f ca="1">IF(AA$41="","",TEXTJOINARRAY("|",TRUE,FINDLINKS(DatasetLinks,MATCH("Dataset "&amp;MINDS!AA$55,OFFSET(DatasetLinks,0,0,1),0), "File ", FileLookup, 5)))</f>
        <v/>
      </c>
      <c r="AB54" s="2" t="str">
        <f ca="1">IF(AB$41="","",TEXTJOINARRAY("|",TRUE,FINDLINKS(DatasetLinks,MATCH("Dataset "&amp;MINDS!AB$55,OFFSET(DatasetLinks,0,0,1),0), "File ", FileLookup, 5)))</f>
        <v/>
      </c>
      <c r="AC54" s="2" t="str">
        <f ca="1">IF(AC$41="","",TEXTJOINARRAY("|",TRUE,FINDLINKS(DatasetLinks,MATCH("Dataset "&amp;MINDS!AC$55,OFFSET(DatasetLinks,0,0,1),0), "File ", FileLookup, 5)))</f>
        <v/>
      </c>
      <c r="AD54" s="2" t="str">
        <f ca="1">IF(AD$41="","",TEXTJOINARRAY("|",TRUE,FINDLINKS(DatasetLinks,MATCH("Dataset "&amp;MINDS!AD$55,OFFSET(DatasetLinks,0,0,1),0), "File ", FileLookup, 5)))</f>
        <v/>
      </c>
      <c r="AE54" s="2" t="str">
        <f ca="1">IF(AE$41="","",TEXTJOINARRAY("|",TRUE,FINDLINKS(DatasetLinks,MATCH("Dataset "&amp;MINDS!AE$55,OFFSET(DatasetLinks,0,0,1),0), "File ", FileLookup, 5)))</f>
        <v/>
      </c>
      <c r="AF54" s="2" t="str">
        <f ca="1">IF(AF$41="","",TEXTJOINARRAY("|",TRUE,FINDLINKS(DatasetLinks,MATCH("Dataset "&amp;MINDS!AF$55,OFFSET(DatasetLinks,0,0,1),0), "File ", FileLookup, 5)))</f>
        <v/>
      </c>
      <c r="AG54" s="2" t="str">
        <f ca="1">IF(AG$41="","",TEXTJOINARRAY("|",TRUE,FINDLINKS(DatasetLinks,MATCH("Dataset "&amp;MINDS!AG$55,OFFSET(DatasetLinks,0,0,1),0), "File ", FileLookup, 5)))</f>
        <v/>
      </c>
      <c r="AH54" s="2" t="str">
        <f ca="1">IF(AH$41="","",TEXTJOINARRAY("|",TRUE,FINDLINKS(DatasetLinks,MATCH("Dataset "&amp;MINDS!AH$55,OFFSET(DatasetLinks,0,0,1),0), "File ", FileLookup, 5)))</f>
        <v/>
      </c>
      <c r="AI54" s="2" t="str">
        <f ca="1">IF(AI$41="","",TEXTJOINARRAY("|",TRUE,FINDLINKS(DatasetLinks,MATCH("Dataset "&amp;MINDS!AI$55,OFFSET(DatasetLinks,0,0,1),0), "File ", FileLookup, 5)))</f>
        <v/>
      </c>
      <c r="AJ54" s="2" t="str">
        <f ca="1">IF(AJ$41="","",TEXTJOINARRAY("|",TRUE,FINDLINKS(DatasetLinks,MATCH("Dataset "&amp;MINDS!AJ$55,OFFSET(DatasetLinks,0,0,1),0), "File ", FileLookup, 5)))</f>
        <v/>
      </c>
      <c r="AK54" s="2" t="str">
        <f ca="1">IF(AK$41="","",TEXTJOINARRAY("|",TRUE,FINDLINKS(DatasetLinks,MATCH("Dataset "&amp;MINDS!AK$55,OFFSET(DatasetLinks,0,0,1),0), "File ", FileLookup, 5)))</f>
        <v/>
      </c>
      <c r="AL54" s="2" t="str">
        <f ca="1">IF(AL$41="","",TEXTJOINARRAY("|",TRUE,FINDLINKS(DatasetLinks,MATCH("Dataset "&amp;MINDS!AL$55,OFFSET(DatasetLinks,0,0,1),0), "File ", FileLookup, 5)))</f>
        <v/>
      </c>
      <c r="AM54" s="2" t="str">
        <f ca="1">IF(AM$41="","",TEXTJOINARRAY("|",TRUE,FINDLINKS(DatasetLinks,MATCH("Dataset "&amp;MINDS!AM$55,OFFSET(DatasetLinks,0,0,1),0), "File ", FileLookup, 5)))</f>
        <v/>
      </c>
      <c r="AN54" s="2" t="str">
        <f ca="1">IF(AN$41="","",TEXTJOINARRAY("|",TRUE,FINDLINKS(DatasetLinks,MATCH("Dataset "&amp;MINDS!AN$55,OFFSET(DatasetLinks,0,0,1),0), "File ", FileLookup, 5)))</f>
        <v/>
      </c>
      <c r="AO54" s="2" t="str">
        <f ca="1">IF(AO$41="","",TEXTJOINARRAY("|",TRUE,FINDLINKS(DatasetLinks,MATCH("Dataset "&amp;MINDS!AO$55,OFFSET(DatasetLinks,0,0,1),0), "File ", FileLookup, 5)))</f>
        <v/>
      </c>
      <c r="AP54" s="2" t="str">
        <f ca="1">IF(AP$41="","",TEXTJOINARRAY("|",TRUE,FINDLINKS(DatasetLinks,MATCH("Dataset "&amp;MINDS!AP$55,OFFSET(DatasetLinks,0,0,1),0), "File ", FileLookup, 5)))</f>
        <v/>
      </c>
      <c r="AQ54" s="2" t="str">
        <f ca="1">IF(AQ$41="","",TEXTJOINARRAY("|",TRUE,FINDLINKS(DatasetLinks,MATCH("Dataset "&amp;MINDS!AQ$55,OFFSET(DatasetLinks,0,0,1),0), "File ", FileLookup, 5)))</f>
        <v/>
      </c>
      <c r="AR54" s="2" t="str">
        <f ca="1">IF(AR$41="","",TEXTJOINARRAY("|",TRUE,FINDLINKS(DatasetLinks,MATCH("Dataset "&amp;MINDS!AR$55,OFFSET(DatasetLinks,0,0,1),0), "File ", FileLookup, 5)))</f>
        <v/>
      </c>
      <c r="AS54" s="2" t="str">
        <f ca="1">IF(AS$41="","",TEXTJOINARRAY("|",TRUE,FINDLINKS(DatasetLinks,MATCH("Dataset "&amp;MINDS!AS$55,OFFSET(DatasetLinks,0,0,1),0), "File ", FileLookup, 5)))</f>
        <v/>
      </c>
      <c r="AT54" s="2" t="str">
        <f ca="1">IF(AT$41="","",TEXTJOINARRAY("|",TRUE,FINDLINKS(DatasetLinks,MATCH("Dataset "&amp;MINDS!AT$55,OFFSET(DatasetLinks,0,0,1),0), "File ", FileLookup, 5)))</f>
        <v/>
      </c>
      <c r="AU54" s="2" t="str">
        <f ca="1">IF(AU$41="","",TEXTJOINARRAY("|",TRUE,FINDLINKS(DatasetLinks,MATCH("Dataset "&amp;MINDS!AU$55,OFFSET(DatasetLinks,0,0,1),0), "File ", FileLookup, 5)))</f>
        <v/>
      </c>
      <c r="AV54" s="2" t="str">
        <f ca="1">IF(AV$41="","",TEXTJOINARRAY("|",TRUE,FINDLINKS(DatasetLinks,MATCH("Dataset "&amp;MINDS!AV$55,OFFSET(DatasetLinks,0,0,1),0), "File ", FileLookup, 5)))</f>
        <v/>
      </c>
      <c r="AW54" s="2" t="str">
        <f ca="1">IF(AW$41="","",TEXTJOINARRAY("|",TRUE,FINDLINKS(DatasetLinks,MATCH("Dataset "&amp;MINDS!AW$55,OFFSET(DatasetLinks,0,0,1),0), "File ", FileLookup, 5)))</f>
        <v/>
      </c>
      <c r="AX54" s="2" t="str">
        <f ca="1">IF(AX$41="","",TEXTJOINARRAY("|",TRUE,FINDLINKS(DatasetLinks,MATCH("Dataset "&amp;MINDS!AX$55,OFFSET(DatasetLinks,0,0,1),0), "File ", FileLookup, 5)))</f>
        <v/>
      </c>
      <c r="AY54" s="2" t="str">
        <f ca="1">IF(AY$41="","",TEXTJOINARRAY("|",TRUE,FINDLINKS(DatasetLinks,MATCH("Dataset "&amp;MINDS!AY$55,OFFSET(DatasetLinks,0,0,1),0), "File ", FileLookup, 5)))</f>
        <v/>
      </c>
      <c r="AZ54" s="2" t="str">
        <f ca="1">IF(AZ$41="","",TEXTJOINARRAY("|",TRUE,FINDLINKS(DatasetLinks,MATCH("Dataset "&amp;MINDS!AZ$55,OFFSET(DatasetLinks,0,0,1),0), "File ", FileLookup, 5)))</f>
        <v/>
      </c>
      <c r="BA54" s="2" t="str">
        <f ca="1">IF(BA$41="","",TEXTJOINARRAY("|",TRUE,FINDLINKS(DatasetLinks,MATCH("Dataset "&amp;MINDS!BA$55,OFFSET(DatasetLinks,0,0,1),0), "File ", FileLookup, 5)))</f>
        <v/>
      </c>
      <c r="BB54" s="2" t="str">
        <f ca="1">IF(BB$41="","",TEXTJOINARRAY("|",TRUE,FINDLINKS(DatasetLinks,MATCH("Dataset "&amp;MINDS!BB$55,OFFSET(DatasetLinks,0,0,1),0), "File ", FileLookup, 5)))</f>
        <v/>
      </c>
      <c r="BC54" s="2" t="str">
        <f ca="1">IF(BC$41="","",TEXTJOINARRAY("|",TRUE,FINDLINKS(DatasetLinks,MATCH("Dataset "&amp;MINDS!BC$55,OFFSET(DatasetLinks,0,0,1),0), "File ", FileLookup, 5)))</f>
        <v/>
      </c>
      <c r="BD54" s="2" t="str">
        <f ca="1">IF(BD$41="","",TEXTJOINARRAY("|",TRUE,FINDLINKS(DatasetLinks,MATCH("Dataset "&amp;MINDS!BD$55,OFFSET(DatasetLinks,0,0,1),0), "File ", FileLookup, 5)))</f>
        <v/>
      </c>
      <c r="BE54" s="2" t="str">
        <f ca="1">IF(BE$41="","",TEXTJOINARRAY("|",TRUE,FINDLINKS(DatasetLinks,MATCH("Dataset "&amp;MINDS!BE$55,OFFSET(DatasetLinks,0,0,1),0), "File ", FileLookup, 5)))</f>
        <v/>
      </c>
      <c r="BF54" s="2" t="str">
        <f ca="1">IF(BF$41="","",TEXTJOINARRAY("|",TRUE,FINDLINKS(DatasetLinks,MATCH("Dataset "&amp;MINDS!BF$55,OFFSET(DatasetLinks,0,0,1),0), "File ", FileLookup, 5)))</f>
        <v/>
      </c>
      <c r="BG54" s="2" t="str">
        <f ca="1">IF(BG$41="","",TEXTJOINARRAY("|",TRUE,FINDLINKS(DatasetLinks,MATCH("Dataset "&amp;MINDS!BG$55,OFFSET(DatasetLinks,0,0,1),0), "File ", FileLookup, 5)))</f>
        <v/>
      </c>
      <c r="BH54" s="2" t="str">
        <f ca="1">IF(BH$41="","",TEXTJOINARRAY("|",TRUE,FINDLINKS(DatasetLinks,MATCH("Dataset "&amp;MINDS!BH$55,OFFSET(DatasetLinks,0,0,1),0), "File ", FileLookup, 5)))</f>
        <v/>
      </c>
      <c r="BI54" s="2" t="str">
        <f ca="1">IF(BI$41="","",TEXTJOINARRAY("|",TRUE,FINDLINKS(DatasetLinks,MATCH("Dataset "&amp;MINDS!BI$55,OFFSET(DatasetLinks,0,0,1),0), "File ", FileLookup, 5)))</f>
        <v/>
      </c>
      <c r="BJ54" s="2" t="str">
        <f ca="1">IF(BJ$41="","",TEXTJOINARRAY("|",TRUE,FINDLINKS(DatasetLinks,MATCH("Dataset "&amp;MINDS!BJ$55,OFFSET(DatasetLinks,0,0,1),0), "File ", FileLookup, 5)))</f>
        <v/>
      </c>
      <c r="BK54" s="2" t="str">
        <f ca="1">IF(BK$41="","",TEXTJOINARRAY("|",TRUE,FINDLINKS(DatasetLinks,MATCH("Dataset "&amp;MINDS!BK$55,OFFSET(DatasetLinks,0,0,1),0), "File ", FileLookup, 5)))</f>
        <v/>
      </c>
      <c r="BL54" s="2" t="str">
        <f ca="1">IF(BL$41="","",TEXTJOINARRAY("|",TRUE,FINDLINKS(DatasetLinks,MATCH("Dataset "&amp;MINDS!BL$55,OFFSET(DatasetLinks,0,0,1),0), "File ", FileLookup, 5)))</f>
        <v/>
      </c>
      <c r="BM54" s="2" t="str">
        <f ca="1">IF(BM$41="","",TEXTJOINARRAY("|",TRUE,FINDLINKS(DatasetLinks,MATCH("Dataset "&amp;MINDS!BM$55,OFFSET(DatasetLinks,0,0,1),0), "File ", FileLookup, 5)))</f>
        <v/>
      </c>
      <c r="BN54" s="2" t="str">
        <f ca="1">IF(BN$41="","",TEXTJOINARRAY("|",TRUE,FINDLINKS(DatasetLinks,MATCH("Dataset "&amp;MINDS!BN$55,OFFSET(DatasetLinks,0,0,1),0), "File ", FileLookup, 5)))</f>
        <v/>
      </c>
      <c r="BO54" s="2" t="str">
        <f ca="1">IF(BO$41="","",TEXTJOINARRAY("|",TRUE,FINDLINKS(DatasetLinks,MATCH("Dataset "&amp;MINDS!BO$55,OFFSET(DatasetLinks,0,0,1),0), "File ", FileLookup, 5)))</f>
        <v/>
      </c>
      <c r="BP54" s="2" t="str">
        <f ca="1">IF(BP$41="","",TEXTJOINARRAY("|",TRUE,FINDLINKS(DatasetLinks,MATCH("Dataset "&amp;MINDS!BP$55,OFFSET(DatasetLinks,0,0,1),0), "File ", FileLookup, 5)))</f>
        <v/>
      </c>
      <c r="BQ54" s="2" t="str">
        <f ca="1">IF(BQ$41="","",TEXTJOINARRAY("|",TRUE,FINDLINKS(DatasetLinks,MATCH("Dataset "&amp;MINDS!BQ$55,OFFSET(DatasetLinks,0,0,1),0), "File ", FileLookup, 5)))</f>
        <v/>
      </c>
      <c r="BR54" s="2" t="str">
        <f ca="1">IF(BR$41="","",TEXTJOINARRAY("|",TRUE,FINDLINKS(DatasetLinks,MATCH("Dataset "&amp;MINDS!BR$55,OFFSET(DatasetLinks,0,0,1),0), "File ", FileLookup, 5)))</f>
        <v/>
      </c>
      <c r="BS54" s="2" t="str">
        <f ca="1">IF(BS$41="","",TEXTJOINARRAY("|",TRUE,FINDLINKS(DatasetLinks,MATCH("Dataset "&amp;MINDS!BS$55,OFFSET(DatasetLinks,0,0,1),0), "File ", FileLookup, 5)))</f>
        <v/>
      </c>
      <c r="BT54" s="2" t="str">
        <f ca="1">IF(BT$41="","",TEXTJOINARRAY("|",TRUE,FINDLINKS(DatasetLinks,MATCH("Dataset "&amp;MINDS!BT$55,OFFSET(DatasetLinks,0,0,1),0), "File ", FileLookup, 5)))</f>
        <v/>
      </c>
      <c r="BU54" s="2" t="str">
        <f ca="1">IF(BU$41="","",TEXTJOINARRAY("|",TRUE,FINDLINKS(DatasetLinks,MATCH("Dataset "&amp;MINDS!BU$55,OFFSET(DatasetLinks,0,0,1),0), "File ", FileLookup, 5)))</f>
        <v/>
      </c>
      <c r="BV54" s="2" t="str">
        <f ca="1">IF(BV$41="","",TEXTJOINARRAY("|",TRUE,FINDLINKS(DatasetLinks,MATCH("Dataset "&amp;MINDS!BV$55,OFFSET(DatasetLinks,0,0,1),0), "File ", FileLookup, 5)))</f>
        <v/>
      </c>
      <c r="BW54" s="2" t="str">
        <f ca="1">IF(BW$41="","",TEXTJOINARRAY("|",TRUE,FINDLINKS(DatasetLinks,MATCH("Dataset "&amp;MINDS!BW$55,OFFSET(DatasetLinks,0,0,1),0), "File ", FileLookup, 5)))</f>
        <v/>
      </c>
      <c r="BX54" s="2" t="str">
        <f ca="1">IF(BX$41="","",TEXTJOINARRAY("|",TRUE,FINDLINKS(DatasetLinks,MATCH("Dataset "&amp;MINDS!BX$55,OFFSET(DatasetLinks,0,0,1),0), "File ", FileLookup, 5)))</f>
        <v/>
      </c>
      <c r="BY54" s="2" t="str">
        <f ca="1">IF(BY$41="","",TEXTJOINARRAY("|",TRUE,FINDLINKS(DatasetLinks,MATCH("Dataset "&amp;MINDS!BY$55,OFFSET(DatasetLinks,0,0,1),0), "File ", FileLookup, 5)))</f>
        <v/>
      </c>
      <c r="BZ54" s="2" t="str">
        <f ca="1">IF(BZ$41="","",TEXTJOINARRAY("|",TRUE,FINDLINKS(DatasetLinks,MATCH("Dataset "&amp;MINDS!BZ$55,OFFSET(DatasetLinks,0,0,1),0), "File ", FileLookup, 5)))</f>
        <v/>
      </c>
      <c r="CA54" s="2" t="str">
        <f ca="1">IF(CA$41="","",TEXTJOINARRAY("|",TRUE,FINDLINKS(DatasetLinks,MATCH("Dataset "&amp;MINDS!CA$55,OFFSET(DatasetLinks,0,0,1),0), "File ", FileLookup, 5)))</f>
        <v/>
      </c>
      <c r="CB54" s="2" t="str">
        <f ca="1">IF(CB$41="","",TEXTJOINARRAY("|",TRUE,FINDLINKS(DatasetLinks,MATCH("Dataset "&amp;MINDS!CB$55,OFFSET(DatasetLinks,0,0,1),0), "File ", FileLookup, 5)))</f>
        <v/>
      </c>
      <c r="CC54" s="2" t="str">
        <f ca="1">IF(CC$41="","",TEXTJOINARRAY("|",TRUE,FINDLINKS(DatasetLinks,MATCH("Dataset "&amp;MINDS!CC$55,OFFSET(DatasetLinks,0,0,1),0), "File ", FileLookup, 5)))</f>
        <v/>
      </c>
      <c r="CD54" s="2" t="str">
        <f ca="1">IF(CD$41="","",TEXTJOINARRAY("|",TRUE,FINDLINKS(DatasetLinks,MATCH("Dataset "&amp;MINDS!CD$55,OFFSET(DatasetLinks,0,0,1),0), "File ", FileLookup, 5)))</f>
        <v/>
      </c>
      <c r="CE54" s="2" t="str">
        <f ca="1">IF(CE$41="","",TEXTJOINARRAY("|",TRUE,FINDLINKS(DatasetLinks,MATCH("Dataset "&amp;MINDS!CE$55,OFFSET(DatasetLinks,0,0,1),0), "File ", FileLookup, 5)))</f>
        <v/>
      </c>
      <c r="CF54" s="2" t="str">
        <f ca="1">IF(CF$41="","",TEXTJOINARRAY("|",TRUE,FINDLINKS(DatasetLinks,MATCH("Dataset "&amp;MINDS!CF$55,OFFSET(DatasetLinks,0,0,1),0), "File ", FileLookup, 5)))</f>
        <v/>
      </c>
      <c r="CG54" s="2" t="str">
        <f ca="1">IF(CG$41="","",TEXTJOINARRAY("|",TRUE,FINDLINKS(DatasetLinks,MATCH("Dataset "&amp;MINDS!CG$55,OFFSET(DatasetLinks,0,0,1),0), "File ", FileLookup, 5)))</f>
        <v/>
      </c>
      <c r="CH54" s="2" t="str">
        <f ca="1">IF(CH$41="","",TEXTJOINARRAY("|",TRUE,FINDLINKS(DatasetLinks,MATCH("Dataset "&amp;MINDS!CH$55,OFFSET(DatasetLinks,0,0,1),0), "File ", FileLookup, 5)))</f>
        <v/>
      </c>
      <c r="CI54" s="2" t="str">
        <f ca="1">IF(CI$41="","",TEXTJOINARRAY("|",TRUE,FINDLINKS(DatasetLinks,MATCH("Dataset "&amp;MINDS!CI$55,OFFSET(DatasetLinks,0,0,1),0), "File ", FileLookup, 5)))</f>
        <v/>
      </c>
      <c r="CJ54" s="2" t="str">
        <f ca="1">IF(CJ$41="","",TEXTJOINARRAY("|",TRUE,FINDLINKS(DatasetLinks,MATCH("Dataset "&amp;MINDS!CJ$55,OFFSET(DatasetLinks,0,0,1),0), "File ", FileLookup, 5)))</f>
        <v/>
      </c>
      <c r="CK54" s="2" t="str">
        <f ca="1">IF(CK$41="","",TEXTJOINARRAY("|",TRUE,FINDLINKS(DatasetLinks,MATCH("Dataset "&amp;MINDS!CK$55,OFFSET(DatasetLinks,0,0,1),0), "File ", FileLookup, 5)))</f>
        <v/>
      </c>
      <c r="CL54" s="2" t="str">
        <f ca="1">IF(CL$41="","",TEXTJOINARRAY("|",TRUE,FINDLINKS(DatasetLinks,MATCH("Dataset "&amp;MINDS!CL$55,OFFSET(DatasetLinks,0,0,1),0), "File ", FileLookup, 5)))</f>
        <v/>
      </c>
      <c r="CM54" s="2" t="str">
        <f ca="1">IF(CM$41="","",TEXTJOINARRAY("|",TRUE,FINDLINKS(DatasetLinks,MATCH("Dataset "&amp;MINDS!CM$55,OFFSET(DatasetLinks,0,0,1),0), "File ", FileLookup, 5)))</f>
        <v/>
      </c>
      <c r="CN54" s="2" t="str">
        <f ca="1">IF(CN$41="","",TEXTJOINARRAY("|",TRUE,FINDLINKS(DatasetLinks,MATCH("Dataset "&amp;MINDS!CN$55,OFFSET(DatasetLinks,0,0,1),0), "File ", FileLookup, 5)))</f>
        <v/>
      </c>
      <c r="CO54" s="2" t="str">
        <f ca="1">IF(CO$41="","",TEXTJOINARRAY("|",TRUE,FINDLINKS(DatasetLinks,MATCH("Dataset "&amp;MINDS!CO$55,OFFSET(DatasetLinks,0,0,1),0), "File ", FileLookup, 5)))</f>
        <v/>
      </c>
      <c r="CP54" s="2" t="str">
        <f ca="1">IF(CP$41="","",TEXTJOINARRAY("|",TRUE,FINDLINKS(DatasetLinks,MATCH("Dataset "&amp;MINDS!CP$55,OFFSET(DatasetLinks,0,0,1),0), "File ", FileLookup, 5)))</f>
        <v/>
      </c>
      <c r="CQ54" s="2" t="str">
        <f ca="1">IF(CQ$41="","",TEXTJOINARRAY("|",TRUE,FINDLINKS(DatasetLinks,MATCH("Dataset "&amp;MINDS!CQ$55,OFFSET(DatasetLinks,0,0,1),0), "File ", FileLookup, 5)))</f>
        <v/>
      </c>
      <c r="CR54" s="2" t="str">
        <f ca="1">IF(CR$41="","",TEXTJOINARRAY("|",TRUE,FINDLINKS(DatasetLinks,MATCH("Dataset "&amp;MINDS!CR$55,OFFSET(DatasetLinks,0,0,1),0), "File ", FileLookup, 5)))</f>
        <v/>
      </c>
      <c r="CS54" s="2" t="str">
        <f ca="1">IF(CS$41="","",TEXTJOINARRAY("|",TRUE,FINDLINKS(DatasetLinks,MATCH("Dataset "&amp;MINDS!CS$55,OFFSET(DatasetLinks,0,0,1),0), "File ", FileLookup, 5)))</f>
        <v/>
      </c>
      <c r="CT54" s="2" t="str">
        <f ca="1">IF(CT$41="","",TEXTJOINARRAY("|",TRUE,FINDLINKS(DatasetLinks,MATCH("Dataset "&amp;MINDS!CT$55,OFFSET(DatasetLinks,0,0,1),0), "File ", FileLookup, 5)))</f>
        <v/>
      </c>
      <c r="CU54" s="2" t="str">
        <f ca="1">IF(CU$41="","",TEXTJOINARRAY("|",TRUE,FINDLINKS(DatasetLinks,MATCH("Dataset "&amp;MINDS!CU$55,OFFSET(DatasetLinks,0,0,1),0), "File ", FileLookup, 5)))</f>
        <v/>
      </c>
      <c r="CV54" s="2" t="str">
        <f ca="1">IF(CV$41="","",TEXTJOINARRAY("|",TRUE,FINDLINKS(DatasetLinks,MATCH("Dataset "&amp;MINDS!CV$55,OFFSET(DatasetLinks,0,0,1),0), "File ", FileLookup, 5)))</f>
        <v/>
      </c>
      <c r="CW54" s="2" t="str">
        <f ca="1">IF(CW$41="","",TEXTJOINARRAY("|",TRUE,FINDLINKS(DatasetLinks,MATCH("Dataset "&amp;MINDS!CW$55,OFFSET(DatasetLinks,0,0,1),0), "File ", FileLookup, 5)))</f>
        <v/>
      </c>
      <c r="CX54" s="2" t="str">
        <f ca="1">IF(CX$41="","",TEXTJOINARRAY("|",TRUE,FINDLINKS(DatasetLinks,MATCH("Dataset "&amp;MINDS!CX$55,OFFSET(DatasetLinks,0,0,1),0), "File ", FileLookup, 5)))</f>
        <v/>
      </c>
      <c r="CY54" s="2" t="str">
        <f ca="1">IF(CY$41="","",TEXTJOINARRAY("|",TRUE,FINDLINKS(DatasetLinks,MATCH("Dataset "&amp;MINDS!CY$55,OFFSET(DatasetLinks,0,0,1),0), "File ", FileLookup, 5)))</f>
        <v/>
      </c>
      <c r="CZ54" s="2" t="str">
        <f ca="1">IF(CZ$41="","",TEXTJOINARRAY("|",TRUE,FINDLINKS(DatasetLinks,MATCH("Dataset "&amp;MINDS!CZ$55,OFFSET(DatasetLinks,0,0,1),0), "File ", FileLookup, 5)))</f>
        <v/>
      </c>
      <c r="DA54" s="2" t="str">
        <f ca="1">IF(DA$41="","",TEXTJOINARRAY("|",TRUE,FINDLINKS(DatasetLinks,MATCH("Dataset "&amp;MINDS!DA$55,OFFSET(DatasetLinks,0,0,1),0), "File ", FileLookup, 5)))</f>
        <v/>
      </c>
      <c r="DB54" s="2" t="str">
        <f ca="1">IF(DB$41="","",TEXTJOINARRAY("|",TRUE,FINDLINKS(DatasetLinks,MATCH("Dataset "&amp;MINDS!DB$55,OFFSET(DatasetLinks,0,0,1),0), "File ", FileLookup, 5)))</f>
        <v/>
      </c>
      <c r="DC54" s="2" t="str">
        <f ca="1">IF(DC$41="","",TEXTJOINARRAY("|",TRUE,FINDLINKS(DatasetLinks,MATCH("Dataset "&amp;MINDS!DC$55,OFFSET(DatasetLinks,0,0,1),0), "File ", FileLookup, 5)))</f>
        <v/>
      </c>
      <c r="DD54" s="2" t="str">
        <f ca="1">IF(DD$41="","",TEXTJOINARRAY("|",TRUE,FINDLINKS(DatasetLinks,MATCH("Dataset "&amp;MINDS!DD$55,OFFSET(DatasetLinks,0,0,1),0), "File ", FileLookup, 5)))</f>
        <v/>
      </c>
      <c r="DE54" s="2" t="str">
        <f ca="1">IF(DE$41="","",TEXTJOINARRAY("|",TRUE,FINDLINKS(DatasetLinks,MATCH("Dataset "&amp;MINDS!DE$55,OFFSET(DatasetLinks,0,0,1),0), "File ", FileLookup, 5)))</f>
        <v/>
      </c>
      <c r="DF54" s="2" t="str">
        <f ca="1">IF(DF$41="","",TEXTJOINARRAY("|",TRUE,FINDLINKS(DatasetLinks,MATCH("Dataset "&amp;MINDS!DF$55,OFFSET(DatasetLinks,0,0,1),0), "File ", FileLookup, 5)))</f>
        <v/>
      </c>
      <c r="DG54" s="2" t="str">
        <f ca="1">IF(DG$41="","",TEXTJOINARRAY("|",TRUE,FINDLINKS(DatasetLinks,MATCH("Dataset "&amp;MINDS!DG$55,OFFSET(DatasetLinks,0,0,1),0), "File ", FileLookup, 5)))</f>
        <v/>
      </c>
      <c r="DH54" s="2" t="str">
        <f ca="1">IF(DH$41="","",TEXTJOINARRAY("|",TRUE,FINDLINKS(DatasetLinks,MATCH("Dataset "&amp;MINDS!DH$55,OFFSET(DatasetLinks,0,0,1),0), "File ", FileLookup, 5)))</f>
        <v/>
      </c>
      <c r="DI54" s="2" t="str">
        <f ca="1">IF(DI$41="","",TEXTJOINARRAY("|",TRUE,FINDLINKS(DatasetLinks,MATCH("Dataset "&amp;MINDS!DI$55,OFFSET(DatasetLinks,0,0,1),0), "File ", FileLookup, 5)))</f>
        <v/>
      </c>
      <c r="DJ54" s="2" t="str">
        <f ca="1">IF(DJ$41="","",TEXTJOINARRAY("|",TRUE,FINDLINKS(DatasetLinks,MATCH("Dataset "&amp;MINDS!DJ$55,OFFSET(DatasetLinks,0,0,1),0), "File ", FileLookup, 5)))</f>
        <v/>
      </c>
      <c r="DK54" s="2" t="str">
        <f ca="1">IF(DK$41="","",TEXTJOINARRAY("|",TRUE,FINDLINKS(DatasetLinks,MATCH("Dataset "&amp;MINDS!DK$55,OFFSET(DatasetLinks,0,0,1),0), "File ", FileLookup, 5)))</f>
        <v/>
      </c>
      <c r="DL54" s="2" t="str">
        <f ca="1">IF(DL$41="","",TEXTJOINARRAY("|",TRUE,FINDLINKS(DatasetLinks,MATCH("Dataset "&amp;MINDS!DL$55,OFFSET(DatasetLinks,0,0,1),0), "File ", FileLookup, 5)))</f>
        <v/>
      </c>
      <c r="DM54" s="2" t="str">
        <f ca="1">IF(DM$41="","",TEXTJOINARRAY("|",TRUE,FINDLINKS(DatasetLinks,MATCH("Dataset "&amp;MINDS!DM$55,OFFSET(DatasetLinks,0,0,1),0), "File ", FileLookup, 5)))</f>
        <v/>
      </c>
      <c r="DN54" s="2" t="str">
        <f ca="1">IF(DN$41="","",TEXTJOINARRAY("|",TRUE,FINDLINKS(DatasetLinks,MATCH("Dataset "&amp;MINDS!DN$55,OFFSET(DatasetLinks,0,0,1),0), "File ", FileLookup, 5)))</f>
        <v/>
      </c>
      <c r="DO54" s="2" t="str">
        <f ca="1">IF(DO$41="","",TEXTJOINARRAY("|",TRUE,FINDLINKS(DatasetLinks,MATCH("Dataset "&amp;MINDS!DO$55,OFFSET(DatasetLinks,0,0,1),0), "File ", FileLookup, 5)))</f>
        <v/>
      </c>
      <c r="DP54" s="2" t="str">
        <f ca="1">IF(DP$41="","",TEXTJOINARRAY("|",TRUE,FINDLINKS(DatasetLinks,MATCH("Dataset "&amp;MINDS!DP$55,OFFSET(DatasetLinks,0,0,1),0), "File ", FileLookup, 5)))</f>
        <v/>
      </c>
      <c r="DQ54" s="2" t="str">
        <f ca="1">IF(DQ$41="","",TEXTJOINARRAY("|",TRUE,FINDLINKS(DatasetLinks,MATCH("Dataset "&amp;MINDS!DQ$55,OFFSET(DatasetLinks,0,0,1),0), "File ", FileLookup, 5)))</f>
        <v/>
      </c>
      <c r="DR54" s="2" t="str">
        <f ca="1">IF(DR$41="","",TEXTJOINARRAY("|",TRUE,FINDLINKS(DatasetLinks,MATCH("Dataset "&amp;MINDS!DR$55,OFFSET(DatasetLinks,0,0,1),0), "File ", FileLookup, 5)))</f>
        <v/>
      </c>
      <c r="DS54" s="2" t="str">
        <f ca="1">IF(DS$41="","",TEXTJOINARRAY("|",TRUE,FINDLINKS(DatasetLinks,MATCH("Dataset "&amp;MINDS!DS$55,OFFSET(DatasetLinks,0,0,1),0), "File ", FileLookup, 5)))</f>
        <v/>
      </c>
      <c r="DT54" s="2" t="str">
        <f ca="1">IF(DT$41="","",TEXTJOINARRAY("|",TRUE,FINDLINKS(DatasetLinks,MATCH("Dataset "&amp;MINDS!DT$55,OFFSET(DatasetLinks,0,0,1),0), "File ", FileLookup, 5)))</f>
        <v/>
      </c>
      <c r="DU54" s="2" t="str">
        <f ca="1">IF(DU$41="","",TEXTJOINARRAY("|",TRUE,FINDLINKS(DatasetLinks,MATCH("Dataset "&amp;MINDS!DU$55,OFFSET(DatasetLinks,0,0,1),0), "File ", FileLookup, 5)))</f>
        <v/>
      </c>
      <c r="DV54" s="2" t="str">
        <f ca="1">IF(DV$41="","",TEXTJOINARRAY("|",TRUE,FINDLINKS(DatasetLinks,MATCH("Dataset "&amp;MINDS!DV$55,OFFSET(DatasetLinks,0,0,1),0), "File ", FileLookup, 5)))</f>
        <v/>
      </c>
      <c r="DW54" s="2" t="str">
        <f ca="1">IF(DW$41="","",TEXTJOINARRAY("|",TRUE,FINDLINKS(DatasetLinks,MATCH("Dataset "&amp;MINDS!DW$55,OFFSET(DatasetLinks,0,0,1),0), "File ", FileLookup, 5)))</f>
        <v/>
      </c>
      <c r="DX54" s="2" t="str">
        <f ca="1">IF(DX$41="","",TEXTJOINARRAY("|",TRUE,FINDLINKS(DatasetLinks,MATCH("Dataset "&amp;MINDS!DX$55,OFFSET(DatasetLinks,0,0,1),0), "File ", FileLookup, 5)))</f>
        <v/>
      </c>
      <c r="DY54" s="2" t="str">
        <f ca="1">IF(DY$41="","",TEXTJOINARRAY("|",TRUE,FINDLINKS(DatasetLinks,MATCH("Dataset "&amp;MINDS!DY$55,OFFSET(DatasetLinks,0,0,1),0), "File ", FileLookup, 5)))</f>
        <v/>
      </c>
      <c r="DZ54" s="2" t="str">
        <f ca="1">IF(DZ$41="","",TEXTJOINARRAY("|",TRUE,FINDLINKS(DatasetLinks,MATCH("Dataset "&amp;MINDS!DZ$55,OFFSET(DatasetLinks,0,0,1),0), "File ", FileLookup, 5)))</f>
        <v/>
      </c>
      <c r="EA54" s="2" t="str">
        <f ca="1">IF(EA$41="","",TEXTJOINARRAY("|",TRUE,FINDLINKS(DatasetLinks,MATCH("Dataset "&amp;MINDS!EA$55,OFFSET(DatasetLinks,0,0,1),0), "File ", FileLookup, 5)))</f>
        <v/>
      </c>
      <c r="EB54" s="2" t="str">
        <f ca="1">IF(EB$41="","",TEXTJOINARRAY("|",TRUE,FINDLINKS(DatasetLinks,MATCH("Dataset "&amp;MINDS!EB$55,OFFSET(DatasetLinks,0,0,1),0), "File ", FileLookup, 5)))</f>
        <v/>
      </c>
      <c r="EC54" s="2" t="str">
        <f ca="1">IF(EC$41="","",TEXTJOINARRAY("|",TRUE,FINDLINKS(DatasetLinks,MATCH("Dataset "&amp;MINDS!EC$55,OFFSET(DatasetLinks,0,0,1),0), "File ", FileLookup, 5)))</f>
        <v/>
      </c>
      <c r="ED54" s="2" t="str">
        <f ca="1">IF(ED$41="","",TEXTJOINARRAY("|",TRUE,FINDLINKS(DatasetLinks,MATCH("Dataset "&amp;MINDS!ED$55,OFFSET(DatasetLinks,0,0,1),0), "File ", FileLookup, 5)))</f>
        <v/>
      </c>
      <c r="EE54" s="2" t="str">
        <f ca="1">IF(EE$41="","",TEXTJOINARRAY("|",TRUE,FINDLINKS(DatasetLinks,MATCH("Dataset "&amp;MINDS!EE$55,OFFSET(DatasetLinks,0,0,1),0), "File ", FileLookup, 5)))</f>
        <v/>
      </c>
      <c r="EF54" s="2" t="str">
        <f ca="1">IF(EF$41="","",TEXTJOINARRAY("|",TRUE,FINDLINKS(DatasetLinks,MATCH("Dataset "&amp;MINDS!EF$55,OFFSET(DatasetLinks,0,0,1),0), "File ", FileLookup, 5)))</f>
        <v/>
      </c>
      <c r="EG54" s="2" t="str">
        <f ca="1">IF(EG$41="","",TEXTJOINARRAY("|",TRUE,FINDLINKS(DatasetLinks,MATCH("Dataset "&amp;MINDS!EG$55,OFFSET(DatasetLinks,0,0,1),0), "File ", FileLookup, 5)))</f>
        <v/>
      </c>
      <c r="EH54" s="2" t="str">
        <f ca="1">IF(EH$41="","",TEXTJOINARRAY("|",TRUE,FINDLINKS(DatasetLinks,MATCH("Dataset "&amp;MINDS!EH$55,OFFSET(DatasetLinks,0,0,1),0), "File ", FileLookup, 5)))</f>
        <v/>
      </c>
      <c r="EI54" s="2" t="str">
        <f ca="1">IF(EI$41="","",TEXTJOINARRAY("|",TRUE,FINDLINKS(DatasetLinks,MATCH("Dataset "&amp;MINDS!EI$55,OFFSET(DatasetLinks,0,0,1),0), "File ", FileLookup, 5)))</f>
        <v/>
      </c>
      <c r="EJ54" s="2" t="str">
        <f ca="1">IF(EJ$41="","",TEXTJOINARRAY("|",TRUE,FINDLINKS(DatasetLinks,MATCH("Dataset "&amp;MINDS!EJ$55,OFFSET(DatasetLinks,0,0,1),0), "File ", FileLookup, 5)))</f>
        <v/>
      </c>
      <c r="EK54" s="2" t="str">
        <f ca="1">IF(EK$41="","",TEXTJOINARRAY("|",TRUE,FINDLINKS(DatasetLinks,MATCH("Dataset "&amp;MINDS!EK$55,OFFSET(DatasetLinks,0,0,1),0), "File ", FileLookup, 5)))</f>
        <v/>
      </c>
      <c r="EL54" s="2" t="str">
        <f ca="1">IF(EL$41="","",TEXTJOINARRAY("|",TRUE,FINDLINKS(DatasetLinks,MATCH("Dataset "&amp;MINDS!EL$55,OFFSET(DatasetLinks,0,0,1),0), "File ", FileLookup, 5)))</f>
        <v/>
      </c>
      <c r="EM54" s="2" t="str">
        <f ca="1">IF(EM$41="","",TEXTJOINARRAY("|",TRUE,FINDLINKS(DatasetLinks,MATCH("Dataset "&amp;MINDS!EM$55,OFFSET(DatasetLinks,0,0,1),0), "File ", FileLookup, 5)))</f>
        <v/>
      </c>
      <c r="EN54" s="2" t="str">
        <f ca="1">IF(EN$41="","",TEXTJOINARRAY("|",TRUE,FINDLINKS(DatasetLinks,MATCH("Dataset "&amp;MINDS!EN$55,OFFSET(DatasetLinks,0,0,1),0), "File ", FileLookup, 5)))</f>
        <v/>
      </c>
      <c r="EO54" s="2" t="str">
        <f ca="1">IF(EO$41="","",TEXTJOINARRAY("|",TRUE,FINDLINKS(DatasetLinks,MATCH("Dataset "&amp;MINDS!EO$55,OFFSET(DatasetLinks,0,0,1),0), "File ", FileLookup, 5)))</f>
        <v/>
      </c>
      <c r="EP54" s="2" t="str">
        <f ca="1">IF(EP$41="","",TEXTJOINARRAY("|",TRUE,FINDLINKS(DatasetLinks,MATCH("Dataset "&amp;MINDS!EP$55,OFFSET(DatasetLinks,0,0,1),0), "File ", FileLookup, 5)))</f>
        <v/>
      </c>
      <c r="EQ54" s="2" t="str">
        <f ca="1">IF(EQ$41="","",TEXTJOINARRAY("|",TRUE,FINDLINKS(DatasetLinks,MATCH("Dataset "&amp;MINDS!EQ$55,OFFSET(DatasetLinks,0,0,1),0), "File ", FileLookup, 5)))</f>
        <v/>
      </c>
      <c r="ER54" s="2" t="str">
        <f ca="1">IF(ER$41="","",TEXTJOINARRAY("|",TRUE,FINDLINKS(DatasetLinks,MATCH("Dataset "&amp;MINDS!ER$55,OFFSET(DatasetLinks,0,0,1),0), "File ", FileLookup, 5)))</f>
        <v/>
      </c>
      <c r="ES54" s="2" t="str">
        <f ca="1">IF(ES$41="","",TEXTJOINARRAY("|",TRUE,FINDLINKS(DatasetLinks,MATCH("Dataset "&amp;MINDS!ES$55,OFFSET(DatasetLinks,0,0,1),0), "File ", FileLookup, 5)))</f>
        <v/>
      </c>
      <c r="ET54" s="2" t="str">
        <f ca="1">IF(ET$41="","",TEXTJOINARRAY("|",TRUE,FINDLINKS(DatasetLinks,MATCH("Dataset "&amp;MINDS!ET$55,OFFSET(DatasetLinks,0,0,1),0), "File ", FileLookup, 5)))</f>
        <v/>
      </c>
      <c r="EU54" s="2" t="str">
        <f ca="1">IF(EU$41="","",TEXTJOINARRAY("|",TRUE,FINDLINKS(DatasetLinks,MATCH("Dataset "&amp;MINDS!EU$55,OFFSET(DatasetLinks,0,0,1),0), "File ", FileLookup, 5)))</f>
        <v/>
      </c>
      <c r="EV54" s="2" t="str">
        <f ca="1">IF(EV$41="","",TEXTJOINARRAY("|",TRUE,FINDLINKS(DatasetLinks,MATCH("Dataset "&amp;MINDS!EV$55,OFFSET(DatasetLinks,0,0,1),0), "File ", FileLookup, 5)))</f>
        <v/>
      </c>
      <c r="EW54" s="2" t="str">
        <f ca="1">IF(EW$41="","",TEXTJOINARRAY("|",TRUE,FINDLINKS(DatasetLinks,MATCH("Dataset "&amp;MINDS!EW$55,OFFSET(DatasetLinks,0,0,1),0), "File ", FileLookup, 5)))</f>
        <v/>
      </c>
      <c r="EX54" s="2" t="str">
        <f ca="1">IF(EX$41="","",TEXTJOINARRAY("|",TRUE,FINDLINKS(DatasetLinks,MATCH("Dataset "&amp;MINDS!EX$55,OFFSET(DatasetLinks,0,0,1),0), "File ", FileLookup, 5)))</f>
        <v/>
      </c>
      <c r="EY54" s="2" t="str">
        <f ca="1">IF(EY$41="","",TEXTJOINARRAY("|",TRUE,FINDLINKS(DatasetLinks,MATCH("Dataset "&amp;MINDS!EY$55,OFFSET(DatasetLinks,0,0,1),0), "File ", FileLookup, 5)))</f>
        <v/>
      </c>
      <c r="EZ54" s="2" t="str">
        <f ca="1">IF(EZ$41="","",TEXTJOINARRAY("|",TRUE,FINDLINKS(DatasetLinks,MATCH("Dataset "&amp;MINDS!EZ$55,OFFSET(DatasetLinks,0,0,1),0), "File ", FileLookup, 5)))</f>
        <v/>
      </c>
      <c r="FA54" s="2" t="str">
        <f ca="1">IF(FA$41="","",TEXTJOINARRAY("|",TRUE,FINDLINKS(DatasetLinks,MATCH("Dataset "&amp;MINDS!FA$55,OFFSET(DatasetLinks,0,0,1),0), "File ", FileLookup, 5)))</f>
        <v/>
      </c>
      <c r="FB54" s="2" t="str">
        <f ca="1">IF(FB$41="","",TEXTJOINARRAY("|",TRUE,FINDLINKS(DatasetLinks,MATCH("Dataset "&amp;MINDS!FB$55,OFFSET(DatasetLinks,0,0,1),0), "File ", FileLookup, 5)))</f>
        <v/>
      </c>
      <c r="FC54" s="2" t="str">
        <f ca="1">IF(FC$41="","",TEXTJOINARRAY("|",TRUE,FINDLINKS(DatasetLinks,MATCH("Dataset "&amp;MINDS!FC$55,OFFSET(DatasetLinks,0,0,1),0), "File ", FileLookup, 5)))</f>
        <v/>
      </c>
      <c r="FD54" s="2" t="str">
        <f ca="1">IF(FD$41="","",TEXTJOINARRAY("|",TRUE,FINDLINKS(DatasetLinks,MATCH("Dataset "&amp;MINDS!FD$55,OFFSET(DatasetLinks,0,0,1),0), "File ", FileLookup, 5)))</f>
        <v/>
      </c>
      <c r="FE54" s="2" t="str">
        <f ca="1">IF(FE$41="","",TEXTJOINARRAY("|",TRUE,FINDLINKS(DatasetLinks,MATCH("Dataset "&amp;MINDS!FE$55,OFFSET(DatasetLinks,0,0,1),0), "File ", FileLookup, 5)))</f>
        <v/>
      </c>
      <c r="FF54" s="2" t="str">
        <f ca="1">IF(FF$41="","",TEXTJOINARRAY("|",TRUE,FINDLINKS(DatasetLinks,MATCH("Dataset "&amp;MINDS!FF$55,OFFSET(DatasetLinks,0,0,1),0), "File ", FileLookup, 5)))</f>
        <v/>
      </c>
      <c r="FG54" s="2" t="str">
        <f ca="1">IF(FG$41="","",TEXTJOINARRAY("|",TRUE,FINDLINKS(DatasetLinks,MATCH("Dataset "&amp;MINDS!FG$55,OFFSET(DatasetLinks,0,0,1),0), "File ", FileLookup, 5)))</f>
        <v/>
      </c>
      <c r="FH54" s="2" t="str">
        <f ca="1">IF(FH$41="","",TEXTJOINARRAY("|",TRUE,FINDLINKS(DatasetLinks,MATCH("Dataset "&amp;MINDS!FH$55,OFFSET(DatasetLinks,0,0,1),0), "File ", FileLookup, 5)))</f>
        <v/>
      </c>
      <c r="FI54" s="2" t="str">
        <f ca="1">IF(FI$41="","",TEXTJOINARRAY("|",TRUE,FINDLINKS(DatasetLinks,MATCH("Dataset "&amp;MINDS!FI$55,OFFSET(DatasetLinks,0,0,1),0), "File ", FileLookup, 5)))</f>
        <v/>
      </c>
      <c r="FJ54" s="2" t="str">
        <f ca="1">IF(FJ$41="","",TEXTJOINARRAY("|",TRUE,FINDLINKS(DatasetLinks,MATCH("Dataset "&amp;MINDS!FJ$55,OFFSET(DatasetLinks,0,0,1),0), "File ", FileLookup, 5)))</f>
        <v/>
      </c>
      <c r="FK54" s="2" t="str">
        <f ca="1">IF(FK$41="","",TEXTJOINARRAY("|",TRUE,FINDLINKS(DatasetLinks,MATCH("Dataset "&amp;MINDS!FK$55,OFFSET(DatasetLinks,0,0,1),0), "File ", FileLookup, 5)))</f>
        <v/>
      </c>
      <c r="FL54" s="2" t="str">
        <f ca="1">IF(FL$41="","",TEXTJOINARRAY("|",TRUE,FINDLINKS(DatasetLinks,MATCH("Dataset "&amp;MINDS!FL$55,OFFSET(DatasetLinks,0,0,1),0), "File ", FileLookup, 5)))</f>
        <v/>
      </c>
      <c r="FM54" s="2" t="str">
        <f ca="1">IF(FM$41="","",TEXTJOINARRAY("|",TRUE,FINDLINKS(DatasetLinks,MATCH("Dataset "&amp;MINDS!FM$55,OFFSET(DatasetLinks,0,0,1),0), "File ", FileLookup, 5)))</f>
        <v/>
      </c>
      <c r="FN54" s="2" t="str">
        <f ca="1">IF(FN$41="","",TEXTJOINARRAY("|",TRUE,FINDLINKS(DatasetLinks,MATCH("Dataset "&amp;MINDS!FN$55,OFFSET(DatasetLinks,0,0,1),0), "File ", FileLookup, 5)))</f>
        <v/>
      </c>
      <c r="FO54" s="2" t="str">
        <f ca="1">IF(FO$41="","",TEXTJOINARRAY("|",TRUE,FINDLINKS(DatasetLinks,MATCH("Dataset "&amp;MINDS!FO$55,OFFSET(DatasetLinks,0,0,1),0), "File ", FileLookup, 5)))</f>
        <v/>
      </c>
      <c r="FP54" s="2" t="str">
        <f ca="1">IF(FP$41="","",TEXTJOINARRAY("|",TRUE,FINDLINKS(DatasetLinks,MATCH("Dataset "&amp;MINDS!FP$55,OFFSET(DatasetLinks,0,0,1),0), "File ", FileLookup, 5)))</f>
        <v/>
      </c>
      <c r="FQ54" s="2" t="str">
        <f ca="1">IF(FQ$41="","",TEXTJOINARRAY("|",TRUE,FINDLINKS(DatasetLinks,MATCH("Dataset "&amp;MINDS!FQ$55,OFFSET(DatasetLinks,0,0,1),0), "File ", FileLookup, 5)))</f>
        <v/>
      </c>
      <c r="FR54" s="2" t="str">
        <f ca="1">IF(FR$41="","",TEXTJOINARRAY("|",TRUE,FINDLINKS(DatasetLinks,MATCH("Dataset "&amp;MINDS!FR$55,OFFSET(DatasetLinks,0,0,1),0), "File ", FileLookup, 5)))</f>
        <v/>
      </c>
      <c r="FS54" s="2" t="str">
        <f ca="1">IF(FS$41="","",TEXTJOINARRAY("|",TRUE,FINDLINKS(DatasetLinks,MATCH("Dataset "&amp;MINDS!FS$55,OFFSET(DatasetLinks,0,0,1),0), "File ", FileLookup, 5)))</f>
        <v/>
      </c>
      <c r="FT54" s="2" t="str">
        <f ca="1">IF(FT$41="","",TEXTJOINARRAY("|",TRUE,FINDLINKS(DatasetLinks,MATCH("Dataset "&amp;MINDS!FT$55,OFFSET(DatasetLinks,0,0,1),0), "File ", FileLookup, 5)))</f>
        <v/>
      </c>
      <c r="FU54" s="2" t="str">
        <f ca="1">IF(FU$41="","",TEXTJOINARRAY("|",TRUE,FINDLINKS(DatasetLinks,MATCH("Dataset "&amp;MINDS!FU$55,OFFSET(DatasetLinks,0,0,1),0), "File ", FileLookup, 5)))</f>
        <v/>
      </c>
      <c r="FV54" s="2" t="str">
        <f ca="1">IF(FV$41="","",TEXTJOINARRAY("|",TRUE,FINDLINKS(DatasetLinks,MATCH("Dataset "&amp;MINDS!FV$55,OFFSET(DatasetLinks,0,0,1),0), "File ", FileLookup, 5)))</f>
        <v/>
      </c>
      <c r="FW54" s="2" t="str">
        <f ca="1">IF(FW$41="","",TEXTJOINARRAY("|",TRUE,FINDLINKS(DatasetLinks,MATCH("Dataset "&amp;MINDS!FW$55,OFFSET(DatasetLinks,0,0,1),0), "File ", FileLookup, 5)))</f>
        <v/>
      </c>
      <c r="FX54" s="2" t="str">
        <f ca="1">IF(FX$41="","",TEXTJOINARRAY("|",TRUE,FINDLINKS(DatasetLinks,MATCH("Dataset "&amp;MINDS!FX$55,OFFSET(DatasetLinks,0,0,1),0), "File ", FileLookup, 5)))</f>
        <v/>
      </c>
      <c r="FY54" s="2" t="str">
        <f ca="1">IF(FY$41="","",TEXTJOINARRAY("|",TRUE,FINDLINKS(DatasetLinks,MATCH("Dataset "&amp;MINDS!FY$55,OFFSET(DatasetLinks,0,0,1),0), "File ", FileLookup, 5)))</f>
        <v/>
      </c>
      <c r="FZ54" s="2" t="str">
        <f ca="1">IF(FZ$41="","",TEXTJOINARRAY("|",TRUE,FINDLINKS(DatasetLinks,MATCH("Dataset "&amp;MINDS!FZ$55,OFFSET(DatasetLinks,0,0,1),0), "File ", FileLookup, 5)))</f>
        <v/>
      </c>
      <c r="GA54" s="2" t="str">
        <f ca="1">IF(GA$41="","",TEXTJOINARRAY("|",TRUE,FINDLINKS(DatasetLinks,MATCH("Dataset "&amp;MINDS!GA$55,OFFSET(DatasetLinks,0,0,1),0), "File ", FileLookup, 5)))</f>
        <v/>
      </c>
      <c r="GB54" s="2" t="str">
        <f ca="1">IF(GB$41="","",TEXTJOINARRAY("|",TRUE,FINDLINKS(DatasetLinks,MATCH("Dataset "&amp;MINDS!GB$55,OFFSET(DatasetLinks,0,0,1),0), "File ", FileLookup, 5)))</f>
        <v/>
      </c>
      <c r="GC54" s="2" t="str">
        <f ca="1">IF(GC$41="","",TEXTJOINARRAY("|",TRUE,FINDLINKS(DatasetLinks,MATCH("Dataset "&amp;MINDS!GC$55,OFFSET(DatasetLinks,0,0,1),0), "File ", FileLookup, 5)))</f>
        <v/>
      </c>
      <c r="GD54" s="2" t="str">
        <f ca="1">IF(GD$41="","",TEXTJOINARRAY("|",TRUE,FINDLINKS(DatasetLinks,MATCH("Dataset "&amp;MINDS!GD$55,OFFSET(DatasetLinks,0,0,1),0), "File ", FileLookup, 5)))</f>
        <v/>
      </c>
      <c r="GE54" s="2" t="str">
        <f ca="1">IF(GE$41="","",TEXTJOINARRAY("|",TRUE,FINDLINKS(DatasetLinks,MATCH("Dataset "&amp;MINDS!GE$55,OFFSET(DatasetLinks,0,0,1),0), "File ", FileLookup, 5)))</f>
        <v/>
      </c>
      <c r="GF54" s="2" t="str">
        <f ca="1">IF(GF$41="","",TEXTJOINARRAY("|",TRUE,FINDLINKS(DatasetLinks,MATCH("Dataset "&amp;MINDS!GF$55,OFFSET(DatasetLinks,0,0,1),0), "File ", FileLookup, 5)))</f>
        <v/>
      </c>
      <c r="GG54" s="2" t="str">
        <f ca="1">IF(GG$41="","",TEXTJOINARRAY("|",TRUE,FINDLINKS(DatasetLinks,MATCH("Dataset "&amp;MINDS!GG$55,OFFSET(DatasetLinks,0,0,1),0), "File ", FileLookup, 5)))</f>
        <v/>
      </c>
      <c r="GH54" s="2" t="str">
        <f ca="1">IF(GH$41="","",TEXTJOINARRAY("|",TRUE,FINDLINKS(DatasetLinks,MATCH("Dataset "&amp;MINDS!GH$55,OFFSET(DatasetLinks,0,0,1),0), "File ", FileLookup, 5)))</f>
        <v/>
      </c>
      <c r="GI54" s="2" t="str">
        <f ca="1">IF(GI$41="","",TEXTJOINARRAY("|",TRUE,FINDLINKS(DatasetLinks,MATCH("Dataset "&amp;MINDS!GI$55,OFFSET(DatasetLinks,0,0,1),0), "File ", FileLookup, 5)))</f>
        <v/>
      </c>
      <c r="GJ54" s="2" t="str">
        <f ca="1">IF(GJ$41="","",TEXTJOINARRAY("|",TRUE,FINDLINKS(DatasetLinks,MATCH("Dataset "&amp;MINDS!GJ$55,OFFSET(DatasetLinks,0,0,1),0), "File ", FileLookup, 5)))</f>
        <v/>
      </c>
      <c r="GK54" s="2" t="str">
        <f ca="1">IF(GK$41="","",TEXTJOINARRAY("|",TRUE,FINDLINKS(DatasetLinks,MATCH("Dataset "&amp;MINDS!GK$55,OFFSET(DatasetLinks,0,0,1),0), "File ", FileLookup, 5)))</f>
        <v/>
      </c>
      <c r="GL54" s="2" t="str">
        <f ca="1">IF(GL$41="","",TEXTJOINARRAY("|",TRUE,FINDLINKS(DatasetLinks,MATCH("Dataset "&amp;MINDS!GL$55,OFFSET(DatasetLinks,0,0,1),0), "File ", FileLookup, 5)))</f>
        <v/>
      </c>
      <c r="GM54" s="2" t="str">
        <f ca="1">IF(GM$41="","",TEXTJOINARRAY("|",TRUE,FINDLINKS(DatasetLinks,MATCH("Dataset "&amp;MINDS!GM$55,OFFSET(DatasetLinks,0,0,1),0), "File ", FileLookup, 5)))</f>
        <v/>
      </c>
      <c r="GN54" s="2" t="str">
        <f ca="1">IF(GN$41="","",TEXTJOINARRAY("|",TRUE,FINDLINKS(DatasetLinks,MATCH("Dataset "&amp;MINDS!GN$55,OFFSET(DatasetLinks,0,0,1),0), "File ", FileLookup, 5)))</f>
        <v/>
      </c>
      <c r="GO54" s="2" t="str">
        <f ca="1">IF(GO$41="","",TEXTJOINARRAY("|",TRUE,FINDLINKS(DatasetLinks,MATCH("Dataset "&amp;MINDS!GO$55,OFFSET(DatasetLinks,0,0,1),0), "File ", FileLookup, 5)))</f>
        <v/>
      </c>
      <c r="GP54" s="2" t="str">
        <f ca="1">IF(GP$41="","",TEXTJOINARRAY("|",TRUE,FINDLINKS(DatasetLinks,MATCH("Dataset "&amp;MINDS!GP$55,OFFSET(DatasetLinks,0,0,1),0), "File ", FileLookup, 5)))</f>
        <v/>
      </c>
      <c r="GQ54" s="2" t="str">
        <f ca="1">IF(GQ$41="","",TEXTJOINARRAY("|",TRUE,FINDLINKS(DatasetLinks,MATCH("Dataset "&amp;MINDS!GQ$55,OFFSET(DatasetLinks,0,0,1),0), "File ", FileLookup, 5)))</f>
        <v/>
      </c>
      <c r="GR54" s="2" t="str">
        <f ca="1">IF(GR$41="","",TEXTJOINARRAY("|",TRUE,FINDLINKS(DatasetLinks,MATCH("Dataset "&amp;MINDS!GR$55,OFFSET(DatasetLinks,0,0,1),0), "File ", FileLookup, 5)))</f>
        <v/>
      </c>
      <c r="GS54" s="2" t="str">
        <f ca="1">IF(GS$41="","",TEXTJOINARRAY("|",TRUE,FINDLINKS(DatasetLinks,MATCH("Dataset "&amp;MINDS!GS$55,OFFSET(DatasetLinks,0,0,1),0), "File ", FileLookup, 5)))</f>
        <v/>
      </c>
      <c r="GT54" s="2" t="str">
        <f ca="1">IF(GT$41="","",TEXTJOINARRAY("|",TRUE,FINDLINKS(DatasetLinks,MATCH("Dataset "&amp;MINDS!GT$55,OFFSET(DatasetLinks,0,0,1),0), "File ", FileLookup, 5)))</f>
        <v/>
      </c>
      <c r="GU54" s="2" t="str">
        <f ca="1">IF(GU$41="","",TEXTJOINARRAY("|",TRUE,FINDLINKS(DatasetLinks,MATCH("Dataset "&amp;MINDS!GU$55,OFFSET(DatasetLinks,0,0,1),0), "File ", FileLookup, 5)))</f>
        <v/>
      </c>
      <c r="GV54" s="2" t="str">
        <f ca="1">IF(GV$41="","",TEXTJOINARRAY("|",TRUE,FINDLINKS(DatasetLinks,MATCH("Dataset "&amp;MINDS!GV$55,OFFSET(DatasetLinks,0,0,1),0), "File ", FileLookup, 5)))</f>
        <v/>
      </c>
      <c r="GW54" s="2" t="str">
        <f ca="1">IF(GW$41="","",TEXTJOINARRAY("|",TRUE,FINDLINKS(DatasetLinks,MATCH("Dataset "&amp;MINDS!GW$55,OFFSET(DatasetLinks,0,0,1),0), "File ", FileLookup, 5)))</f>
        <v/>
      </c>
      <c r="GX54" s="2" t="str">
        <f ca="1">IF(GX$41="","",TEXTJOINARRAY("|",TRUE,FINDLINKS(DatasetLinks,MATCH("Dataset "&amp;MINDS!GX$55,OFFSET(DatasetLinks,0,0,1),0), "File ", FileLookup, 5)))</f>
        <v/>
      </c>
      <c r="GY54" s="2" t="str">
        <f ca="1">IF(GY$41="","",TEXTJOINARRAY("|",TRUE,FINDLINKS(DatasetLinks,MATCH("Dataset "&amp;MINDS!GY$55,OFFSET(DatasetLinks,0,0,1),0), "File ", FileLookup, 5)))</f>
        <v/>
      </c>
      <c r="GZ54" s="2" t="str">
        <f ca="1">IF(GZ$41="","",TEXTJOINARRAY("|",TRUE,FINDLINKS(DatasetLinks,MATCH("Dataset "&amp;MINDS!GZ$55,OFFSET(DatasetLinks,0,0,1),0), "File ", FileLookup, 5)))</f>
        <v/>
      </c>
      <c r="HA54" s="2" t="str">
        <f ca="1">IF(HA$41="","",TEXTJOINARRAY("|",TRUE,FINDLINKS(DatasetLinks,MATCH("Dataset "&amp;MINDS!HA$55,OFFSET(DatasetLinks,0,0,1),0), "File ", FileLookup, 5)))</f>
        <v/>
      </c>
      <c r="HB54" s="2" t="str">
        <f ca="1">IF(HB$41="","",TEXTJOINARRAY("|",TRUE,FINDLINKS(DatasetLinks,MATCH("Dataset "&amp;MINDS!HB$55,OFFSET(DatasetLinks,0,0,1),0), "File ", FileLookup, 5)))</f>
        <v/>
      </c>
      <c r="HC54" s="2" t="str">
        <f ca="1">IF(HC$41="","",TEXTJOINARRAY("|",TRUE,FINDLINKS(DatasetLinks,MATCH("Dataset "&amp;MINDS!HC$55,OFFSET(DatasetLinks,0,0,1),0), "File ", FileLookup, 5)))</f>
        <v/>
      </c>
      <c r="HD54" s="2" t="str">
        <f ca="1">IF(HD$41="","",TEXTJOINARRAY("|",TRUE,FINDLINKS(DatasetLinks,MATCH("Dataset "&amp;MINDS!HD$55,OFFSET(DatasetLinks,0,0,1),0), "File ", FileLookup, 5)))</f>
        <v/>
      </c>
      <c r="HE54" s="2" t="str">
        <f ca="1">IF(HE$41="","",TEXTJOINARRAY("|",TRUE,FINDLINKS(DatasetLinks,MATCH("Dataset "&amp;MINDS!HE$55,OFFSET(DatasetLinks,0,0,1),0), "File ", FileLookup, 5)))</f>
        <v/>
      </c>
      <c r="HF54" s="2" t="str">
        <f ca="1">IF(HF$41="","",TEXTJOINARRAY("|",TRUE,FINDLINKS(DatasetLinks,MATCH("Dataset "&amp;MINDS!HF$55,OFFSET(DatasetLinks,0,0,1),0), "File ", FileLookup, 5)))</f>
        <v/>
      </c>
      <c r="HG54" s="2" t="str">
        <f ca="1">IF(HG$41="","",TEXTJOINARRAY("|",TRUE,FINDLINKS(DatasetLinks,MATCH("Dataset "&amp;MINDS!HG$55,OFFSET(DatasetLinks,0,0,1),0), "File ", FileLookup, 5)))</f>
        <v/>
      </c>
      <c r="HH54" s="2" t="str">
        <f ca="1">IF(HH$41="","",TEXTJOINARRAY("|",TRUE,FINDLINKS(DatasetLinks,MATCH("Dataset "&amp;MINDS!HH$55,OFFSET(DatasetLinks,0,0,1),0), "File ", FileLookup, 5)))</f>
        <v/>
      </c>
      <c r="HI54" s="2" t="str">
        <f ca="1">IF(HI$41="","",TEXTJOINARRAY("|",TRUE,FINDLINKS(DatasetLinks,MATCH("Dataset "&amp;MINDS!HI$55,OFFSET(DatasetLinks,0,0,1),0), "File ", FileLookup, 5)))</f>
        <v/>
      </c>
      <c r="HJ54" s="2" t="str">
        <f ca="1">IF(HJ$41="","",TEXTJOINARRAY("|",TRUE,FINDLINKS(DatasetLinks,MATCH("Dataset "&amp;MINDS!HJ$55,OFFSET(DatasetLinks,0,0,1),0), "File ", FileLookup, 5)))</f>
        <v/>
      </c>
      <c r="HK54" s="2" t="str">
        <f ca="1">IF(HK$41="","",TEXTJOINARRAY("|",TRUE,FINDLINKS(DatasetLinks,MATCH("Dataset "&amp;MINDS!HK$55,OFFSET(DatasetLinks,0,0,1),0), "File ", FileLookup, 5)))</f>
        <v/>
      </c>
      <c r="HL54" s="2" t="str">
        <f ca="1">IF(HL$41="","",TEXTJOINARRAY("|",TRUE,FINDLINKS(DatasetLinks,MATCH("Dataset "&amp;MINDS!HL$55,OFFSET(DatasetLinks,0,0,1),0), "File ", FileLookup, 5)))</f>
        <v/>
      </c>
      <c r="HM54" s="2" t="str">
        <f ca="1">IF(HM$41="","",TEXTJOINARRAY("|",TRUE,FINDLINKS(DatasetLinks,MATCH("Dataset "&amp;MINDS!HM$55,OFFSET(DatasetLinks,0,0,1),0), "File ", FileLookup, 5)))</f>
        <v/>
      </c>
      <c r="HN54" s="2" t="str">
        <f ca="1">IF(HN$41="","",TEXTJOINARRAY("|",TRUE,FINDLINKS(DatasetLinks,MATCH("Dataset "&amp;MINDS!HN$55,OFFSET(DatasetLinks,0,0,1),0), "File ", FileLookup, 5)))</f>
        <v/>
      </c>
      <c r="HO54" s="2" t="str">
        <f ca="1">IF(HO$41="","",TEXTJOINARRAY("|",TRUE,FINDLINKS(DatasetLinks,MATCH("Dataset "&amp;MINDS!HO$55,OFFSET(DatasetLinks,0,0,1),0), "File ", FileLookup, 5)))</f>
        <v/>
      </c>
      <c r="HP54" s="2" t="str">
        <f ca="1">IF(HP$41="","",TEXTJOINARRAY("|",TRUE,FINDLINKS(DatasetLinks,MATCH("Dataset "&amp;MINDS!HP$55,OFFSET(DatasetLinks,0,0,1),0), "File ", FileLookup, 5)))</f>
        <v/>
      </c>
      <c r="HQ54" s="2" t="str">
        <f ca="1">IF(HQ$41="","",TEXTJOINARRAY("|",TRUE,FINDLINKS(DatasetLinks,MATCH("Dataset "&amp;MINDS!HQ$55,OFFSET(DatasetLinks,0,0,1),0), "File ", FileLookup, 5)))</f>
        <v/>
      </c>
      <c r="HR54" s="2" t="str">
        <f ca="1">IF(HR$41="","",TEXTJOINARRAY("|",TRUE,FINDLINKS(DatasetLinks,MATCH("Dataset "&amp;MINDS!HR$55,OFFSET(DatasetLinks,0,0,1),0), "File ", FileLookup, 5)))</f>
        <v/>
      </c>
      <c r="HS54" s="2" t="str">
        <f ca="1">IF(HS$41="","",TEXTJOINARRAY("|",TRUE,FINDLINKS(DatasetLinks,MATCH("Dataset "&amp;MINDS!HS$55,OFFSET(DatasetLinks,0,0,1),0), "File ", FileLookup, 5)))</f>
        <v/>
      </c>
      <c r="HT54" s="2" t="str">
        <f ca="1">IF(HT$41="","",TEXTJOINARRAY("|",TRUE,FINDLINKS(DatasetLinks,MATCH("Dataset "&amp;MINDS!HT$55,OFFSET(DatasetLinks,0,0,1),0), "File ", FileLookup, 5)))</f>
        <v/>
      </c>
      <c r="HU54" s="2" t="str">
        <f ca="1">IF(HU$41="","",TEXTJOINARRAY("|",TRUE,FINDLINKS(DatasetLinks,MATCH("Dataset "&amp;MINDS!HU$55,OFFSET(DatasetLinks,0,0,1),0), "File ", FileLookup, 5)))</f>
        <v/>
      </c>
      <c r="HV54" s="2" t="str">
        <f ca="1">IF(HV$41="","",TEXTJOINARRAY("|",TRUE,FINDLINKS(DatasetLinks,MATCH("Dataset "&amp;MINDS!HV$55,OFFSET(DatasetLinks,0,0,1),0), "File ", FileLookup, 5)))</f>
        <v/>
      </c>
      <c r="HW54" s="2" t="str">
        <f ca="1">IF(HW$41="","",TEXTJOINARRAY("|",TRUE,FINDLINKS(DatasetLinks,MATCH("Dataset "&amp;MINDS!HW$55,OFFSET(DatasetLinks,0,0,1),0), "File ", FileLookup, 5)))</f>
        <v/>
      </c>
      <c r="HX54" s="2" t="str">
        <f ca="1">IF(HX$41="","",TEXTJOINARRAY("|",TRUE,FINDLINKS(DatasetLinks,MATCH("Dataset "&amp;MINDS!HX$55,OFFSET(DatasetLinks,0,0,1),0), "File ", FileLookup, 5)))</f>
        <v/>
      </c>
      <c r="HY54" s="2" t="str">
        <f ca="1">IF(HY$41="","",TEXTJOINARRAY("|",TRUE,FINDLINKS(DatasetLinks,MATCH("Dataset "&amp;MINDS!HY$55,OFFSET(DatasetLinks,0,0,1),0), "File ", FileLookup, 5)))</f>
        <v/>
      </c>
      <c r="HZ54" s="2" t="str">
        <f ca="1">IF(HZ$41="","",TEXTJOINARRAY("|",TRUE,FINDLINKS(DatasetLinks,MATCH("Dataset "&amp;MINDS!HZ$55,OFFSET(DatasetLinks,0,0,1),0), "File ", FileLookup, 5)))</f>
        <v/>
      </c>
      <c r="IA54" s="2" t="str">
        <f ca="1">IF(IA$41="","",TEXTJOINARRAY("|",TRUE,FINDLINKS(DatasetLinks,MATCH("Dataset "&amp;MINDS!IA$55,OFFSET(DatasetLinks,0,0,1),0), "File ", FileLookup, 5)))</f>
        <v/>
      </c>
      <c r="IB54" s="2" t="str">
        <f ca="1">IF(IB$41="","",TEXTJOINARRAY("|",TRUE,FINDLINKS(DatasetLinks,MATCH("Dataset "&amp;MINDS!IB$55,OFFSET(DatasetLinks,0,0,1),0), "File ", FileLookup, 5)))</f>
        <v/>
      </c>
      <c r="IC54" s="2" t="str">
        <f ca="1">IF(IC$41="","",TEXTJOINARRAY("|",TRUE,FINDLINKS(DatasetLinks,MATCH("Dataset "&amp;MINDS!IC$55,OFFSET(DatasetLinks,0,0,1),0), "File ", FileLookup, 5)))</f>
        <v/>
      </c>
      <c r="ID54" s="2" t="str">
        <f ca="1">IF(ID$41="","",TEXTJOINARRAY("|",TRUE,FINDLINKS(DatasetLinks,MATCH("Dataset "&amp;MINDS!ID$55,OFFSET(DatasetLinks,0,0,1),0), "File ", FileLookup, 5)))</f>
        <v/>
      </c>
      <c r="IE54" s="2" t="str">
        <f ca="1">IF(IE$41="","",TEXTJOINARRAY("|",TRUE,FINDLINKS(DatasetLinks,MATCH("Dataset "&amp;MINDS!IE$55,OFFSET(DatasetLinks,0,0,1),0), "File ", FileLookup, 5)))</f>
        <v/>
      </c>
      <c r="IF54" s="2" t="str">
        <f ca="1">IF(IF$41="","",TEXTJOINARRAY("|",TRUE,FINDLINKS(DatasetLinks,MATCH("Dataset "&amp;MINDS!IF$55,OFFSET(DatasetLinks,0,0,1),0), "File ", FileLookup, 5)))</f>
        <v/>
      </c>
      <c r="IG54" s="2" t="str">
        <f ca="1">IF(IG$41="","",TEXTJOINARRAY("|",TRUE,FINDLINKS(DatasetLinks,MATCH("Dataset "&amp;MINDS!IG$55,OFFSET(DatasetLinks,0,0,1),0), "File ", FileLookup, 5)))</f>
        <v/>
      </c>
      <c r="IH54" s="2" t="str">
        <f ca="1">IF(IH$41="","",TEXTJOINARRAY("|",TRUE,FINDLINKS(DatasetLinks,MATCH("Dataset "&amp;MINDS!IH$55,OFFSET(DatasetLinks,0,0,1),0), "File ", FileLookup, 5)))</f>
        <v/>
      </c>
      <c r="II54" s="2" t="str">
        <f ca="1">IF(II$41="","",TEXTJOINARRAY("|",TRUE,FINDLINKS(DatasetLinks,MATCH("Dataset "&amp;MINDS!II$55,OFFSET(DatasetLinks,0,0,1),0), "File ", FileLookup, 5)))</f>
        <v/>
      </c>
      <c r="IJ54" s="2" t="str">
        <f ca="1">IF(IJ$41="","",TEXTJOINARRAY("|",TRUE,FINDLINKS(DatasetLinks,MATCH("Dataset "&amp;MINDS!IJ$55,OFFSET(DatasetLinks,0,0,1),0), "File ", FileLookup, 5)))</f>
        <v/>
      </c>
      <c r="IK54" s="2" t="str">
        <f ca="1">IF(IK$41="","",TEXTJOINARRAY("|",TRUE,FINDLINKS(DatasetLinks,MATCH("Dataset "&amp;MINDS!IK$55,OFFSET(DatasetLinks,0,0,1),0), "File ", FileLookup, 5)))</f>
        <v/>
      </c>
      <c r="IL54" s="2" t="str">
        <f ca="1">IF(IL$41="","",TEXTJOINARRAY("|",TRUE,FINDLINKS(DatasetLinks,MATCH("Dataset "&amp;MINDS!IL$55,OFFSET(DatasetLinks,0,0,1),0), "File ", FileLookup, 5)))</f>
        <v/>
      </c>
      <c r="IM54" s="2" t="str">
        <f ca="1">IF(IM$41="","",TEXTJOINARRAY("|",TRUE,FINDLINKS(DatasetLinks,MATCH("Dataset "&amp;MINDS!IM$55,OFFSET(DatasetLinks,0,0,1),0), "File ", FileLookup, 5)))</f>
        <v/>
      </c>
      <c r="IN54" s="2" t="str">
        <f ca="1">IF(IN$41="","",TEXTJOINARRAY("|",TRUE,FINDLINKS(DatasetLinks,MATCH("Dataset "&amp;MINDS!IN$55,OFFSET(DatasetLinks,0,0,1),0), "File ", FileLookup, 5)))</f>
        <v/>
      </c>
      <c r="IO54" s="2" t="str">
        <f ca="1">IF(IO$41="","",TEXTJOINARRAY("|",TRUE,FINDLINKS(DatasetLinks,MATCH("Dataset "&amp;MINDS!IO$55,OFFSET(DatasetLinks,0,0,1),0), "File ", FileLookup, 5)))</f>
        <v/>
      </c>
      <c r="IP54" s="2" t="str">
        <f ca="1">IF(IP$41="","",TEXTJOINARRAY("|",TRUE,FINDLINKS(DatasetLinks,MATCH("Dataset "&amp;MINDS!IP$55,OFFSET(DatasetLinks,0,0,1),0), "File ", FileLookup, 5)))</f>
        <v/>
      </c>
      <c r="IQ54" s="2" t="str">
        <f ca="1">IF(IQ$41="","",TEXTJOINARRAY("|",TRUE,FINDLINKS(DatasetLinks,MATCH("Dataset "&amp;MINDS!IQ$55,OFFSET(DatasetLinks,0,0,1),0), "File ", FileLookup, 5)))</f>
        <v/>
      </c>
      <c r="IR54" s="2" t="str">
        <f ca="1">IF(IR$41="","",TEXTJOINARRAY("|",TRUE,FINDLINKS(DatasetLinks,MATCH("Dataset "&amp;MINDS!IR$55,OFFSET(DatasetLinks,0,0,1),0), "File ", FileLookup, 5)))</f>
        <v/>
      </c>
      <c r="IS54" s="2" t="str">
        <f ca="1">IF(IS$41="","",TEXTJOINARRAY("|",TRUE,FINDLINKS(DatasetLinks,MATCH("Dataset "&amp;MINDS!IS$55,OFFSET(DatasetLinks,0,0,1),0), "File ", FileLookup, 5)))</f>
        <v/>
      </c>
      <c r="IT54" s="2" t="str">
        <f ca="1">IF(IT$41="","",TEXTJOINARRAY("|",TRUE,FINDLINKS(DatasetLinks,MATCH("Dataset "&amp;MINDS!IT$55,OFFSET(DatasetLinks,0,0,1),0), "File ", FileLookup, 5)))</f>
        <v/>
      </c>
      <c r="IU54" s="2" t="str">
        <f ca="1">IF(IU$41="","",TEXTJOINARRAY("|",TRUE,FINDLINKS(DatasetLinks,MATCH("Dataset "&amp;MINDS!IU$55,OFFSET(DatasetLinks,0,0,1),0), "File ", FileLookup, 5)))</f>
        <v/>
      </c>
      <c r="IV54" s="2" t="str">
        <f ca="1">IF(IV$41="","",TEXTJOINARRAY("|",TRUE,FINDLINKS(DatasetLinks,MATCH("Dataset "&amp;MINDS!IV$55,OFFSET(DatasetLinks,0,0,1),0), "File ", FileLookup, 5)))</f>
        <v/>
      </c>
    </row>
    <row r="55" spans="1:256" x14ac:dyDescent="0.2">
      <c r="A55" s="3" t="s">
        <v>20</v>
      </c>
    </row>
    <row r="56" spans="1:256" x14ac:dyDescent="0.2">
      <c r="A56" s="3" t="s">
        <v>21</v>
      </c>
      <c r="C56" s="2" t="str">
        <f ca="1">IF(C$41="","",TEXTJOINARRAY("|",TRUE,FINDLINKS(DatasetLinks,MATCH("Dataset "&amp;MINDS!C$55,OFFSET(DatasetLinks,0,0,1),0), "Publication ", PublicationLookup, 2)))</f>
        <v/>
      </c>
      <c r="D56" s="2" t="str">
        <f ca="1">IF(D$41="","",TEXTJOINARRAY("|",TRUE,FINDLINKS(DatasetLinks,MATCH("Dataset "&amp;MINDS!D$55,OFFSET(DatasetLinks,0,0,1),0), "Publication ", PublicationLookup, 2)))</f>
        <v/>
      </c>
      <c r="E56" s="2" t="str">
        <f ca="1">IF(E$41="","",TEXTJOINARRAY("|",TRUE,FINDLINKS(DatasetLinks,MATCH("Dataset "&amp;MINDS!E$55,OFFSET(DatasetLinks,0,0,1),0), "Publication ", PublicationLookup, 2)))</f>
        <v/>
      </c>
      <c r="F56" s="2" t="str">
        <f ca="1">IF(F$41="","",TEXTJOINARRAY("|",TRUE,FINDLINKS(DatasetLinks,MATCH("Dataset "&amp;MINDS!F$55,OFFSET(DatasetLinks,0,0,1),0), "Publication ", PublicationLookup, 2)))</f>
        <v/>
      </c>
      <c r="G56" s="2" t="str">
        <f ca="1">IF(G$41="","",TEXTJOINARRAY("|",TRUE,FINDLINKS(DatasetLinks,MATCH("Dataset "&amp;MINDS!G$55,OFFSET(DatasetLinks,0,0,1),0), "Publication ", PublicationLookup, 2)))</f>
        <v/>
      </c>
      <c r="H56" s="2" t="str">
        <f ca="1">IF(H$41="","",TEXTJOINARRAY("|",TRUE,FINDLINKS(DatasetLinks,MATCH("Dataset "&amp;MINDS!H$55,OFFSET(DatasetLinks,0,0,1),0), "Publication ", PublicationLookup, 2)))</f>
        <v/>
      </c>
      <c r="I56" s="2" t="str">
        <f ca="1">IF(I$41="","",TEXTJOINARRAY("|",TRUE,FINDLINKS(DatasetLinks,MATCH("Dataset "&amp;MINDS!I$55,OFFSET(DatasetLinks,0,0,1),0), "Publication ", PublicationLookup, 2)))</f>
        <v/>
      </c>
      <c r="J56" s="2" t="str">
        <f ca="1">IF(J$41="","",TEXTJOINARRAY("|",TRUE,FINDLINKS(DatasetLinks,MATCH("Dataset "&amp;MINDS!J$55,OFFSET(DatasetLinks,0,0,1),0), "Publication ", PublicationLookup, 2)))</f>
        <v/>
      </c>
      <c r="K56" s="2" t="str">
        <f ca="1">IF(K$41="","",TEXTJOINARRAY("|",TRUE,FINDLINKS(DatasetLinks,MATCH("Dataset "&amp;MINDS!K$55,OFFSET(DatasetLinks,0,0,1),0), "Publication ", PublicationLookup, 2)))</f>
        <v/>
      </c>
      <c r="L56" s="2" t="str">
        <f ca="1">IF(L$41="","",TEXTJOINARRAY("|",TRUE,FINDLINKS(DatasetLinks,MATCH("Dataset "&amp;MINDS!L$55,OFFSET(DatasetLinks,0,0,1),0), "Publication ", PublicationLookup, 2)))</f>
        <v/>
      </c>
      <c r="M56" s="2" t="str">
        <f ca="1">IF(M$41="","",TEXTJOINARRAY("|",TRUE,FINDLINKS(DatasetLinks,MATCH("Dataset "&amp;MINDS!M$55,OFFSET(DatasetLinks,0,0,1),0), "Publication ", PublicationLookup, 2)))</f>
        <v/>
      </c>
      <c r="N56" s="2" t="str">
        <f ca="1">IF(N$41="","",TEXTJOINARRAY("|",TRUE,FINDLINKS(DatasetLinks,MATCH("Dataset "&amp;MINDS!N$55,OFFSET(DatasetLinks,0,0,1),0), "Publication ", PublicationLookup, 2)))</f>
        <v/>
      </c>
      <c r="O56" s="2" t="str">
        <f ca="1">IF(O$41="","",TEXTJOINARRAY("|",TRUE,FINDLINKS(DatasetLinks,MATCH("Dataset "&amp;MINDS!O$55,OFFSET(DatasetLinks,0,0,1),0), "Publication ", PublicationLookup, 2)))</f>
        <v/>
      </c>
      <c r="P56" s="2" t="str">
        <f ca="1">IF(P$41="","",TEXTJOINARRAY("|",TRUE,FINDLINKS(DatasetLinks,MATCH("Dataset "&amp;MINDS!P$55,OFFSET(DatasetLinks,0,0,1),0), "Publication ", PublicationLookup, 2)))</f>
        <v/>
      </c>
      <c r="Q56" s="2" t="str">
        <f ca="1">IF(Q$41="","",TEXTJOINARRAY("|",TRUE,FINDLINKS(DatasetLinks,MATCH("Dataset "&amp;MINDS!Q$55,OFFSET(DatasetLinks,0,0,1),0), "Publication ", PublicationLookup, 2)))</f>
        <v/>
      </c>
      <c r="R56" s="2" t="str">
        <f ca="1">IF(R$41="","",TEXTJOINARRAY("|",TRUE,FINDLINKS(DatasetLinks,MATCH("Dataset "&amp;MINDS!R$55,OFFSET(DatasetLinks,0,0,1),0), "Publication ", PublicationLookup, 2)))</f>
        <v/>
      </c>
      <c r="S56" s="2" t="str">
        <f ca="1">IF(S$41="","",TEXTJOINARRAY("|",TRUE,FINDLINKS(DatasetLinks,MATCH("Dataset "&amp;MINDS!S$55,OFFSET(DatasetLinks,0,0,1),0), "Publication ", PublicationLookup, 2)))</f>
        <v/>
      </c>
      <c r="T56" s="2" t="str">
        <f ca="1">IF(T$41="","",TEXTJOINARRAY("|",TRUE,FINDLINKS(DatasetLinks,MATCH("Dataset "&amp;MINDS!T$55,OFFSET(DatasetLinks,0,0,1),0), "Publication ", PublicationLookup, 2)))</f>
        <v/>
      </c>
      <c r="U56" s="2" t="str">
        <f ca="1">IF(U$41="","",TEXTJOINARRAY("|",TRUE,FINDLINKS(DatasetLinks,MATCH("Dataset "&amp;MINDS!U$55,OFFSET(DatasetLinks,0,0,1),0), "Publication ", PublicationLookup, 2)))</f>
        <v/>
      </c>
      <c r="V56" s="2" t="str">
        <f ca="1">IF(V$41="","",TEXTJOINARRAY("|",TRUE,FINDLINKS(DatasetLinks,MATCH("Dataset "&amp;MINDS!V$55,OFFSET(DatasetLinks,0,0,1),0), "Publication ", PublicationLookup, 2)))</f>
        <v/>
      </c>
      <c r="W56" s="2" t="str">
        <f ca="1">IF(W$41="","",TEXTJOINARRAY("|",TRUE,FINDLINKS(DatasetLinks,MATCH("Dataset "&amp;MINDS!W$55,OFFSET(DatasetLinks,0,0,1),0), "Publication ", PublicationLookup, 2)))</f>
        <v/>
      </c>
      <c r="X56" s="2" t="str">
        <f ca="1">IF(X$41="","",TEXTJOINARRAY("|",TRUE,FINDLINKS(DatasetLinks,MATCH("Dataset "&amp;MINDS!X$55,OFFSET(DatasetLinks,0,0,1),0), "Publication ", PublicationLookup, 2)))</f>
        <v/>
      </c>
      <c r="Y56" s="2" t="str">
        <f ca="1">IF(Y$41="","",TEXTJOINARRAY("|",TRUE,FINDLINKS(DatasetLinks,MATCH("Dataset "&amp;MINDS!Y$55,OFFSET(DatasetLinks,0,0,1),0), "Publication ", PublicationLookup, 2)))</f>
        <v/>
      </c>
      <c r="Z56" s="2" t="str">
        <f ca="1">IF(Z$41="","",TEXTJOINARRAY("|",TRUE,FINDLINKS(DatasetLinks,MATCH("Dataset "&amp;MINDS!Z$55,OFFSET(DatasetLinks,0,0,1),0), "Publication ", PublicationLookup, 2)))</f>
        <v/>
      </c>
      <c r="AA56" s="2" t="str">
        <f ca="1">IF(AA$41="","",TEXTJOINARRAY("|",TRUE,FINDLINKS(DatasetLinks,MATCH("Dataset "&amp;MINDS!AA$55,OFFSET(DatasetLinks,0,0,1),0), "Publication ", PublicationLookup, 2)))</f>
        <v/>
      </c>
      <c r="AB56" s="2" t="str">
        <f ca="1">IF(AB$41="","",TEXTJOINARRAY("|",TRUE,FINDLINKS(DatasetLinks,MATCH("Dataset "&amp;MINDS!AB$55,OFFSET(DatasetLinks,0,0,1),0), "Publication ", PublicationLookup, 2)))</f>
        <v/>
      </c>
      <c r="AC56" s="2" t="str">
        <f ca="1">IF(AC$41="","",TEXTJOINARRAY("|",TRUE,FINDLINKS(DatasetLinks,MATCH("Dataset "&amp;MINDS!AC$55,OFFSET(DatasetLinks,0,0,1),0), "Publication ", PublicationLookup, 2)))</f>
        <v/>
      </c>
      <c r="AD56" s="2" t="str">
        <f ca="1">IF(AD$41="","",TEXTJOINARRAY("|",TRUE,FINDLINKS(DatasetLinks,MATCH("Dataset "&amp;MINDS!AD$55,OFFSET(DatasetLinks,0,0,1),0), "Publication ", PublicationLookup, 2)))</f>
        <v/>
      </c>
      <c r="AE56" s="2" t="str">
        <f ca="1">IF(AE$41="","",TEXTJOINARRAY("|",TRUE,FINDLINKS(DatasetLinks,MATCH("Dataset "&amp;MINDS!AE$55,OFFSET(DatasetLinks,0,0,1),0), "Publication ", PublicationLookup, 2)))</f>
        <v/>
      </c>
      <c r="AF56" s="2" t="str">
        <f ca="1">IF(AF$41="","",TEXTJOINARRAY("|",TRUE,FINDLINKS(DatasetLinks,MATCH("Dataset "&amp;MINDS!AF$55,OFFSET(DatasetLinks,0,0,1),0), "Publication ", PublicationLookup, 2)))</f>
        <v/>
      </c>
      <c r="AG56" s="2" t="str">
        <f ca="1">IF(AG$41="","",TEXTJOINARRAY("|",TRUE,FINDLINKS(DatasetLinks,MATCH("Dataset "&amp;MINDS!AG$55,OFFSET(DatasetLinks,0,0,1),0), "Publication ", PublicationLookup, 2)))</f>
        <v/>
      </c>
      <c r="AH56" s="2" t="str">
        <f ca="1">IF(AH$41="","",TEXTJOINARRAY("|",TRUE,FINDLINKS(DatasetLinks,MATCH("Dataset "&amp;MINDS!AH$55,OFFSET(DatasetLinks,0,0,1),0), "Publication ", PublicationLookup, 2)))</f>
        <v/>
      </c>
      <c r="AI56" s="2" t="str">
        <f ca="1">IF(AI$41="","",TEXTJOINARRAY("|",TRUE,FINDLINKS(DatasetLinks,MATCH("Dataset "&amp;MINDS!AI$55,OFFSET(DatasetLinks,0,0,1),0), "Publication ", PublicationLookup, 2)))</f>
        <v/>
      </c>
      <c r="AJ56" s="2" t="str">
        <f ca="1">IF(AJ$41="","",TEXTJOINARRAY("|",TRUE,FINDLINKS(DatasetLinks,MATCH("Dataset "&amp;MINDS!AJ$55,OFFSET(DatasetLinks,0,0,1),0), "Publication ", PublicationLookup, 2)))</f>
        <v/>
      </c>
      <c r="AK56" s="2" t="str">
        <f ca="1">IF(AK$41="","",TEXTJOINARRAY("|",TRUE,FINDLINKS(DatasetLinks,MATCH("Dataset "&amp;MINDS!AK$55,OFFSET(DatasetLinks,0,0,1),0), "Publication ", PublicationLookup, 2)))</f>
        <v/>
      </c>
      <c r="AL56" s="2" t="str">
        <f ca="1">IF(AL$41="","",TEXTJOINARRAY("|",TRUE,FINDLINKS(DatasetLinks,MATCH("Dataset "&amp;MINDS!AL$55,OFFSET(DatasetLinks,0,0,1),0), "Publication ", PublicationLookup, 2)))</f>
        <v/>
      </c>
      <c r="AM56" s="2" t="str">
        <f ca="1">IF(AM$41="","",TEXTJOINARRAY("|",TRUE,FINDLINKS(DatasetLinks,MATCH("Dataset "&amp;MINDS!AM$55,OFFSET(DatasetLinks,0,0,1),0), "Publication ", PublicationLookup, 2)))</f>
        <v/>
      </c>
      <c r="AN56" s="2" t="str">
        <f ca="1">IF(AN$41="","",TEXTJOINARRAY("|",TRUE,FINDLINKS(DatasetLinks,MATCH("Dataset "&amp;MINDS!AN$55,OFFSET(DatasetLinks,0,0,1),0), "Publication ", PublicationLookup, 2)))</f>
        <v/>
      </c>
      <c r="AO56" s="2" t="str">
        <f ca="1">IF(AO$41="","",TEXTJOINARRAY("|",TRUE,FINDLINKS(DatasetLinks,MATCH("Dataset "&amp;MINDS!AO$55,OFFSET(DatasetLinks,0,0,1),0), "Publication ", PublicationLookup, 2)))</f>
        <v/>
      </c>
      <c r="AP56" s="2" t="str">
        <f ca="1">IF(AP$41="","",TEXTJOINARRAY("|",TRUE,FINDLINKS(DatasetLinks,MATCH("Dataset "&amp;MINDS!AP$55,OFFSET(DatasetLinks,0,0,1),0), "Publication ", PublicationLookup, 2)))</f>
        <v/>
      </c>
      <c r="AQ56" s="2" t="str">
        <f ca="1">IF(AQ$41="","",TEXTJOINARRAY("|",TRUE,FINDLINKS(DatasetLinks,MATCH("Dataset "&amp;MINDS!AQ$55,OFFSET(DatasetLinks,0,0,1),0), "Publication ", PublicationLookup, 2)))</f>
        <v/>
      </c>
      <c r="AR56" s="2" t="str">
        <f ca="1">IF(AR$41="","",TEXTJOINARRAY("|",TRUE,FINDLINKS(DatasetLinks,MATCH("Dataset "&amp;MINDS!AR$55,OFFSET(DatasetLinks,0,0,1),0), "Publication ", PublicationLookup, 2)))</f>
        <v/>
      </c>
      <c r="AS56" s="2" t="str">
        <f ca="1">IF(AS$41="","",TEXTJOINARRAY("|",TRUE,FINDLINKS(DatasetLinks,MATCH("Dataset "&amp;MINDS!AS$55,OFFSET(DatasetLinks,0,0,1),0), "Publication ", PublicationLookup, 2)))</f>
        <v/>
      </c>
      <c r="AT56" s="2" t="str">
        <f ca="1">IF(AT$41="","",TEXTJOINARRAY("|",TRUE,FINDLINKS(DatasetLinks,MATCH("Dataset "&amp;MINDS!AT$55,OFFSET(DatasetLinks,0,0,1),0), "Publication ", PublicationLookup, 2)))</f>
        <v/>
      </c>
      <c r="AU56" s="2" t="str">
        <f ca="1">IF(AU$41="","",TEXTJOINARRAY("|",TRUE,FINDLINKS(DatasetLinks,MATCH("Dataset "&amp;MINDS!AU$55,OFFSET(DatasetLinks,0,0,1),0), "Publication ", PublicationLookup, 2)))</f>
        <v/>
      </c>
      <c r="AV56" s="2" t="str">
        <f ca="1">IF(AV$41="","",TEXTJOINARRAY("|",TRUE,FINDLINKS(DatasetLinks,MATCH("Dataset "&amp;MINDS!AV$55,OFFSET(DatasetLinks,0,0,1),0), "Publication ", PublicationLookup, 2)))</f>
        <v/>
      </c>
      <c r="AW56" s="2" t="str">
        <f ca="1">IF(AW$41="","",TEXTJOINARRAY("|",TRUE,FINDLINKS(DatasetLinks,MATCH("Dataset "&amp;MINDS!AW$55,OFFSET(DatasetLinks,0,0,1),0), "Publication ", PublicationLookup, 2)))</f>
        <v/>
      </c>
      <c r="AX56" s="2" t="str">
        <f ca="1">IF(AX$41="","",TEXTJOINARRAY("|",TRUE,FINDLINKS(DatasetLinks,MATCH("Dataset "&amp;MINDS!AX$55,OFFSET(DatasetLinks,0,0,1),0), "Publication ", PublicationLookup, 2)))</f>
        <v/>
      </c>
      <c r="AY56" s="2" t="str">
        <f ca="1">IF(AY$41="","",TEXTJOINARRAY("|",TRUE,FINDLINKS(DatasetLinks,MATCH("Dataset "&amp;MINDS!AY$55,OFFSET(DatasetLinks,0,0,1),0), "Publication ", PublicationLookup, 2)))</f>
        <v/>
      </c>
      <c r="AZ56" s="2" t="str">
        <f ca="1">IF(AZ$41="","",TEXTJOINARRAY("|",TRUE,FINDLINKS(DatasetLinks,MATCH("Dataset "&amp;MINDS!AZ$55,OFFSET(DatasetLinks,0,0,1),0), "Publication ", PublicationLookup, 2)))</f>
        <v/>
      </c>
      <c r="BA56" s="2" t="str">
        <f ca="1">IF(BA$41="","",TEXTJOINARRAY("|",TRUE,FINDLINKS(DatasetLinks,MATCH("Dataset "&amp;MINDS!BA$55,OFFSET(DatasetLinks,0,0,1),0), "Publication ", PublicationLookup, 2)))</f>
        <v/>
      </c>
      <c r="BB56" s="2" t="str">
        <f ca="1">IF(BB$41="","",TEXTJOINARRAY("|",TRUE,FINDLINKS(DatasetLinks,MATCH("Dataset "&amp;MINDS!BB$55,OFFSET(DatasetLinks,0,0,1),0), "Publication ", PublicationLookup, 2)))</f>
        <v/>
      </c>
      <c r="BC56" s="2" t="str">
        <f ca="1">IF(BC$41="","",TEXTJOINARRAY("|",TRUE,FINDLINKS(DatasetLinks,MATCH("Dataset "&amp;MINDS!BC$55,OFFSET(DatasetLinks,0,0,1),0), "Publication ", PublicationLookup, 2)))</f>
        <v/>
      </c>
      <c r="BD56" s="2" t="str">
        <f ca="1">IF(BD$41="","",TEXTJOINARRAY("|",TRUE,FINDLINKS(DatasetLinks,MATCH("Dataset "&amp;MINDS!BD$55,OFFSET(DatasetLinks,0,0,1),0), "Publication ", PublicationLookup, 2)))</f>
        <v/>
      </c>
      <c r="BE56" s="2" t="str">
        <f ca="1">IF(BE$41="","",TEXTJOINARRAY("|",TRUE,FINDLINKS(DatasetLinks,MATCH("Dataset "&amp;MINDS!BE$55,OFFSET(DatasetLinks,0,0,1),0), "Publication ", PublicationLookup, 2)))</f>
        <v/>
      </c>
      <c r="BF56" s="2" t="str">
        <f ca="1">IF(BF$41="","",TEXTJOINARRAY("|",TRUE,FINDLINKS(DatasetLinks,MATCH("Dataset "&amp;MINDS!BF$55,OFFSET(DatasetLinks,0,0,1),0), "Publication ", PublicationLookup, 2)))</f>
        <v/>
      </c>
      <c r="BG56" s="2" t="str">
        <f ca="1">IF(BG$41="","",TEXTJOINARRAY("|",TRUE,FINDLINKS(DatasetLinks,MATCH("Dataset "&amp;MINDS!BG$55,OFFSET(DatasetLinks,0,0,1),0), "Publication ", PublicationLookup, 2)))</f>
        <v/>
      </c>
      <c r="BH56" s="2" t="str">
        <f ca="1">IF(BH$41="","",TEXTJOINARRAY("|",TRUE,FINDLINKS(DatasetLinks,MATCH("Dataset "&amp;MINDS!BH$55,OFFSET(DatasetLinks,0,0,1),0), "Publication ", PublicationLookup, 2)))</f>
        <v/>
      </c>
      <c r="BI56" s="2" t="str">
        <f ca="1">IF(BI$41="","",TEXTJOINARRAY("|",TRUE,FINDLINKS(DatasetLinks,MATCH("Dataset "&amp;MINDS!BI$55,OFFSET(DatasetLinks,0,0,1),0), "Publication ", PublicationLookup, 2)))</f>
        <v/>
      </c>
      <c r="BJ56" s="2" t="str">
        <f ca="1">IF(BJ$41="","",TEXTJOINARRAY("|",TRUE,FINDLINKS(DatasetLinks,MATCH("Dataset "&amp;MINDS!BJ$55,OFFSET(DatasetLinks,0,0,1),0), "Publication ", PublicationLookup, 2)))</f>
        <v/>
      </c>
      <c r="BK56" s="2" t="str">
        <f ca="1">IF(BK$41="","",TEXTJOINARRAY("|",TRUE,FINDLINKS(DatasetLinks,MATCH("Dataset "&amp;MINDS!BK$55,OFFSET(DatasetLinks,0,0,1),0), "Publication ", PublicationLookup, 2)))</f>
        <v/>
      </c>
      <c r="BL56" s="2" t="str">
        <f ca="1">IF(BL$41="","",TEXTJOINARRAY("|",TRUE,FINDLINKS(DatasetLinks,MATCH("Dataset "&amp;MINDS!BL$55,OFFSET(DatasetLinks,0,0,1),0), "Publication ", PublicationLookup, 2)))</f>
        <v/>
      </c>
      <c r="BM56" s="2" t="str">
        <f ca="1">IF(BM$41="","",TEXTJOINARRAY("|",TRUE,FINDLINKS(DatasetLinks,MATCH("Dataset "&amp;MINDS!BM$55,OFFSET(DatasetLinks,0,0,1),0), "Publication ", PublicationLookup, 2)))</f>
        <v/>
      </c>
      <c r="BN56" s="2" t="str">
        <f ca="1">IF(BN$41="","",TEXTJOINARRAY("|",TRUE,FINDLINKS(DatasetLinks,MATCH("Dataset "&amp;MINDS!BN$55,OFFSET(DatasetLinks,0,0,1),0), "Publication ", PublicationLookup, 2)))</f>
        <v/>
      </c>
      <c r="BO56" s="2" t="str">
        <f ca="1">IF(BO$41="","",TEXTJOINARRAY("|",TRUE,FINDLINKS(DatasetLinks,MATCH("Dataset "&amp;MINDS!BO$55,OFFSET(DatasetLinks,0,0,1),0), "Publication ", PublicationLookup, 2)))</f>
        <v/>
      </c>
      <c r="BP56" s="2" t="str">
        <f ca="1">IF(BP$41="","",TEXTJOINARRAY("|",TRUE,FINDLINKS(DatasetLinks,MATCH("Dataset "&amp;MINDS!BP$55,OFFSET(DatasetLinks,0,0,1),0), "Publication ", PublicationLookup, 2)))</f>
        <v/>
      </c>
      <c r="BQ56" s="2" t="str">
        <f ca="1">IF(BQ$41="","",TEXTJOINARRAY("|",TRUE,FINDLINKS(DatasetLinks,MATCH("Dataset "&amp;MINDS!BQ$55,OFFSET(DatasetLinks,0,0,1),0), "Publication ", PublicationLookup, 2)))</f>
        <v/>
      </c>
      <c r="BR56" s="2" t="str">
        <f ca="1">IF(BR$41="","",TEXTJOINARRAY("|",TRUE,FINDLINKS(DatasetLinks,MATCH("Dataset "&amp;MINDS!BR$55,OFFSET(DatasetLinks,0,0,1),0), "Publication ", PublicationLookup, 2)))</f>
        <v/>
      </c>
      <c r="BS56" s="2" t="str">
        <f ca="1">IF(BS$41="","",TEXTJOINARRAY("|",TRUE,FINDLINKS(DatasetLinks,MATCH("Dataset "&amp;MINDS!BS$55,OFFSET(DatasetLinks,0,0,1),0), "Publication ", PublicationLookup, 2)))</f>
        <v/>
      </c>
      <c r="BT56" s="2" t="str">
        <f ca="1">IF(BT$41="","",TEXTJOINARRAY("|",TRUE,FINDLINKS(DatasetLinks,MATCH("Dataset "&amp;MINDS!BT$55,OFFSET(DatasetLinks,0,0,1),0), "Publication ", PublicationLookup, 2)))</f>
        <v/>
      </c>
      <c r="BU56" s="2" t="str">
        <f ca="1">IF(BU$41="","",TEXTJOINARRAY("|",TRUE,FINDLINKS(DatasetLinks,MATCH("Dataset "&amp;MINDS!BU$55,OFFSET(DatasetLinks,0,0,1),0), "Publication ", PublicationLookup, 2)))</f>
        <v/>
      </c>
      <c r="BV56" s="2" t="str">
        <f ca="1">IF(BV$41="","",TEXTJOINARRAY("|",TRUE,FINDLINKS(DatasetLinks,MATCH("Dataset "&amp;MINDS!BV$55,OFFSET(DatasetLinks,0,0,1),0), "Publication ", PublicationLookup, 2)))</f>
        <v/>
      </c>
      <c r="BW56" s="2" t="str">
        <f ca="1">IF(BW$41="","",TEXTJOINARRAY("|",TRUE,FINDLINKS(DatasetLinks,MATCH("Dataset "&amp;MINDS!BW$55,OFFSET(DatasetLinks,0,0,1),0), "Publication ", PublicationLookup, 2)))</f>
        <v/>
      </c>
      <c r="BX56" s="2" t="str">
        <f ca="1">IF(BX$41="","",TEXTJOINARRAY("|",TRUE,FINDLINKS(DatasetLinks,MATCH("Dataset "&amp;MINDS!BX$55,OFFSET(DatasetLinks,0,0,1),0), "Publication ", PublicationLookup, 2)))</f>
        <v/>
      </c>
      <c r="BY56" s="2" t="str">
        <f ca="1">IF(BY$41="","",TEXTJOINARRAY("|",TRUE,FINDLINKS(DatasetLinks,MATCH("Dataset "&amp;MINDS!BY$55,OFFSET(DatasetLinks,0,0,1),0), "Publication ", PublicationLookup, 2)))</f>
        <v/>
      </c>
      <c r="BZ56" s="2" t="str">
        <f ca="1">IF(BZ$41="","",TEXTJOINARRAY("|",TRUE,FINDLINKS(DatasetLinks,MATCH("Dataset "&amp;MINDS!BZ$55,OFFSET(DatasetLinks,0,0,1),0), "Publication ", PublicationLookup, 2)))</f>
        <v/>
      </c>
      <c r="CA56" s="2" t="str">
        <f ca="1">IF(CA$41="","",TEXTJOINARRAY("|",TRUE,FINDLINKS(DatasetLinks,MATCH("Dataset "&amp;MINDS!CA$55,OFFSET(DatasetLinks,0,0,1),0), "Publication ", PublicationLookup, 2)))</f>
        <v/>
      </c>
      <c r="CB56" s="2" t="str">
        <f ca="1">IF(CB$41="","",TEXTJOINARRAY("|",TRUE,FINDLINKS(DatasetLinks,MATCH("Dataset "&amp;MINDS!CB$55,OFFSET(DatasetLinks,0,0,1),0), "Publication ", PublicationLookup, 2)))</f>
        <v/>
      </c>
      <c r="CC56" s="2" t="str">
        <f ca="1">IF(CC$41="","",TEXTJOINARRAY("|",TRUE,FINDLINKS(DatasetLinks,MATCH("Dataset "&amp;MINDS!CC$55,OFFSET(DatasetLinks,0,0,1),0), "Publication ", PublicationLookup, 2)))</f>
        <v/>
      </c>
      <c r="CD56" s="2" t="str">
        <f ca="1">IF(CD$41="","",TEXTJOINARRAY("|",TRUE,FINDLINKS(DatasetLinks,MATCH("Dataset "&amp;MINDS!CD$55,OFFSET(DatasetLinks,0,0,1),0), "Publication ", PublicationLookup, 2)))</f>
        <v/>
      </c>
      <c r="CE56" s="2" t="str">
        <f ca="1">IF(CE$41="","",TEXTJOINARRAY("|",TRUE,FINDLINKS(DatasetLinks,MATCH("Dataset "&amp;MINDS!CE$55,OFFSET(DatasetLinks,0,0,1),0), "Publication ", PublicationLookup, 2)))</f>
        <v/>
      </c>
      <c r="CF56" s="2" t="str">
        <f ca="1">IF(CF$41="","",TEXTJOINARRAY("|",TRUE,FINDLINKS(DatasetLinks,MATCH("Dataset "&amp;MINDS!CF$55,OFFSET(DatasetLinks,0,0,1),0), "Publication ", PublicationLookup, 2)))</f>
        <v/>
      </c>
      <c r="CG56" s="2" t="str">
        <f ca="1">IF(CG$41="","",TEXTJOINARRAY("|",TRUE,FINDLINKS(DatasetLinks,MATCH("Dataset "&amp;MINDS!CG$55,OFFSET(DatasetLinks,0,0,1),0), "Publication ", PublicationLookup, 2)))</f>
        <v/>
      </c>
      <c r="CH56" s="2" t="str">
        <f ca="1">IF(CH$41="","",TEXTJOINARRAY("|",TRUE,FINDLINKS(DatasetLinks,MATCH("Dataset "&amp;MINDS!CH$55,OFFSET(DatasetLinks,0,0,1),0), "Publication ", PublicationLookup, 2)))</f>
        <v/>
      </c>
      <c r="CI56" s="2" t="str">
        <f ca="1">IF(CI$41="","",TEXTJOINARRAY("|",TRUE,FINDLINKS(DatasetLinks,MATCH("Dataset "&amp;MINDS!CI$55,OFFSET(DatasetLinks,0,0,1),0), "Publication ", PublicationLookup, 2)))</f>
        <v/>
      </c>
      <c r="CJ56" s="2" t="str">
        <f ca="1">IF(CJ$41="","",TEXTJOINARRAY("|",TRUE,FINDLINKS(DatasetLinks,MATCH("Dataset "&amp;MINDS!CJ$55,OFFSET(DatasetLinks,0,0,1),0), "Publication ", PublicationLookup, 2)))</f>
        <v/>
      </c>
      <c r="CK56" s="2" t="str">
        <f ca="1">IF(CK$41="","",TEXTJOINARRAY("|",TRUE,FINDLINKS(DatasetLinks,MATCH("Dataset "&amp;MINDS!CK$55,OFFSET(DatasetLinks,0,0,1),0), "Publication ", PublicationLookup, 2)))</f>
        <v/>
      </c>
      <c r="CL56" s="2" t="str">
        <f ca="1">IF(CL$41="","",TEXTJOINARRAY("|",TRUE,FINDLINKS(DatasetLinks,MATCH("Dataset "&amp;MINDS!CL$55,OFFSET(DatasetLinks,0,0,1),0), "Publication ", PublicationLookup, 2)))</f>
        <v/>
      </c>
      <c r="CM56" s="2" t="str">
        <f ca="1">IF(CM$41="","",TEXTJOINARRAY("|",TRUE,FINDLINKS(DatasetLinks,MATCH("Dataset "&amp;MINDS!CM$55,OFFSET(DatasetLinks,0,0,1),0), "Publication ", PublicationLookup, 2)))</f>
        <v/>
      </c>
      <c r="CN56" s="2" t="str">
        <f ca="1">IF(CN$41="","",TEXTJOINARRAY("|",TRUE,FINDLINKS(DatasetLinks,MATCH("Dataset "&amp;MINDS!CN$55,OFFSET(DatasetLinks,0,0,1),0), "Publication ", PublicationLookup, 2)))</f>
        <v/>
      </c>
      <c r="CO56" s="2" t="str">
        <f ca="1">IF(CO$41="","",TEXTJOINARRAY("|",TRUE,FINDLINKS(DatasetLinks,MATCH("Dataset "&amp;MINDS!CO$55,OFFSET(DatasetLinks,0,0,1),0), "Publication ", PublicationLookup, 2)))</f>
        <v/>
      </c>
      <c r="CP56" s="2" t="str">
        <f ca="1">IF(CP$41="","",TEXTJOINARRAY("|",TRUE,FINDLINKS(DatasetLinks,MATCH("Dataset "&amp;MINDS!CP$55,OFFSET(DatasetLinks,0,0,1),0), "Publication ", PublicationLookup, 2)))</f>
        <v/>
      </c>
      <c r="CQ56" s="2" t="str">
        <f ca="1">IF(CQ$41="","",TEXTJOINARRAY("|",TRUE,FINDLINKS(DatasetLinks,MATCH("Dataset "&amp;MINDS!CQ$55,OFFSET(DatasetLinks,0,0,1),0), "Publication ", PublicationLookup, 2)))</f>
        <v/>
      </c>
      <c r="CR56" s="2" t="str">
        <f ca="1">IF(CR$41="","",TEXTJOINARRAY("|",TRUE,FINDLINKS(DatasetLinks,MATCH("Dataset "&amp;MINDS!CR$55,OFFSET(DatasetLinks,0,0,1),0), "Publication ", PublicationLookup, 2)))</f>
        <v/>
      </c>
      <c r="CS56" s="2" t="str">
        <f ca="1">IF(CS$41="","",TEXTJOINARRAY("|",TRUE,FINDLINKS(DatasetLinks,MATCH("Dataset "&amp;MINDS!CS$55,OFFSET(DatasetLinks,0,0,1),0), "Publication ", PublicationLookup, 2)))</f>
        <v/>
      </c>
      <c r="CT56" s="2" t="str">
        <f ca="1">IF(CT$41="","",TEXTJOINARRAY("|",TRUE,FINDLINKS(DatasetLinks,MATCH("Dataset "&amp;MINDS!CT$55,OFFSET(DatasetLinks,0,0,1),0), "Publication ", PublicationLookup, 2)))</f>
        <v/>
      </c>
      <c r="CU56" s="2" t="str">
        <f ca="1">IF(CU$41="","",TEXTJOINARRAY("|",TRUE,FINDLINKS(DatasetLinks,MATCH("Dataset "&amp;MINDS!CU$55,OFFSET(DatasetLinks,0,0,1),0), "Publication ", PublicationLookup, 2)))</f>
        <v/>
      </c>
      <c r="CV56" s="2" t="str">
        <f ca="1">IF(CV$41="","",TEXTJOINARRAY("|",TRUE,FINDLINKS(DatasetLinks,MATCH("Dataset "&amp;MINDS!CV$55,OFFSET(DatasetLinks,0,0,1),0), "Publication ", PublicationLookup, 2)))</f>
        <v/>
      </c>
      <c r="CW56" s="2" t="str">
        <f ca="1">IF(CW$41="","",TEXTJOINARRAY("|",TRUE,FINDLINKS(DatasetLinks,MATCH("Dataset "&amp;MINDS!CW$55,OFFSET(DatasetLinks,0,0,1),0), "Publication ", PublicationLookup, 2)))</f>
        <v/>
      </c>
      <c r="CX56" s="2" t="str">
        <f ca="1">IF(CX$41="","",TEXTJOINARRAY("|",TRUE,FINDLINKS(DatasetLinks,MATCH("Dataset "&amp;MINDS!CX$55,OFFSET(DatasetLinks,0,0,1),0), "Publication ", PublicationLookup, 2)))</f>
        <v/>
      </c>
      <c r="CY56" s="2" t="str">
        <f ca="1">IF(CY$41="","",TEXTJOINARRAY("|",TRUE,FINDLINKS(DatasetLinks,MATCH("Dataset "&amp;MINDS!CY$55,OFFSET(DatasetLinks,0,0,1),0), "Publication ", PublicationLookup, 2)))</f>
        <v/>
      </c>
      <c r="CZ56" s="2" t="str">
        <f ca="1">IF(CZ$41="","",TEXTJOINARRAY("|",TRUE,FINDLINKS(DatasetLinks,MATCH("Dataset "&amp;MINDS!CZ$55,OFFSET(DatasetLinks,0,0,1),0), "Publication ", PublicationLookup, 2)))</f>
        <v/>
      </c>
      <c r="DA56" s="2" t="str">
        <f ca="1">IF(DA$41="","",TEXTJOINARRAY("|",TRUE,FINDLINKS(DatasetLinks,MATCH("Dataset "&amp;MINDS!DA$55,OFFSET(DatasetLinks,0,0,1),0), "Publication ", PublicationLookup, 2)))</f>
        <v/>
      </c>
      <c r="DB56" s="2" t="str">
        <f ca="1">IF(DB$41="","",TEXTJOINARRAY("|",TRUE,FINDLINKS(DatasetLinks,MATCH("Dataset "&amp;MINDS!DB$55,OFFSET(DatasetLinks,0,0,1),0), "Publication ", PublicationLookup, 2)))</f>
        <v/>
      </c>
      <c r="DC56" s="2" t="str">
        <f ca="1">IF(DC$41="","",TEXTJOINARRAY("|",TRUE,FINDLINKS(DatasetLinks,MATCH("Dataset "&amp;MINDS!DC$55,OFFSET(DatasetLinks,0,0,1),0), "Publication ", PublicationLookup, 2)))</f>
        <v/>
      </c>
      <c r="DD56" s="2" t="str">
        <f ca="1">IF(DD$41="","",TEXTJOINARRAY("|",TRUE,FINDLINKS(DatasetLinks,MATCH("Dataset "&amp;MINDS!DD$55,OFFSET(DatasetLinks,0,0,1),0), "Publication ", PublicationLookup, 2)))</f>
        <v/>
      </c>
      <c r="DE56" s="2" t="str">
        <f ca="1">IF(DE$41="","",TEXTJOINARRAY("|",TRUE,FINDLINKS(DatasetLinks,MATCH("Dataset "&amp;MINDS!DE$55,OFFSET(DatasetLinks,0,0,1),0), "Publication ", PublicationLookup, 2)))</f>
        <v/>
      </c>
      <c r="DF56" s="2" t="str">
        <f ca="1">IF(DF$41="","",TEXTJOINARRAY("|",TRUE,FINDLINKS(DatasetLinks,MATCH("Dataset "&amp;MINDS!DF$55,OFFSET(DatasetLinks,0,0,1),0), "Publication ", PublicationLookup, 2)))</f>
        <v/>
      </c>
      <c r="DG56" s="2" t="str">
        <f ca="1">IF(DG$41="","",TEXTJOINARRAY("|",TRUE,FINDLINKS(DatasetLinks,MATCH("Dataset "&amp;MINDS!DG$55,OFFSET(DatasetLinks,0,0,1),0), "Publication ", PublicationLookup, 2)))</f>
        <v/>
      </c>
      <c r="DH56" s="2" t="str">
        <f ca="1">IF(DH$41="","",TEXTJOINARRAY("|",TRUE,FINDLINKS(DatasetLinks,MATCH("Dataset "&amp;MINDS!DH$55,OFFSET(DatasetLinks,0,0,1),0), "Publication ", PublicationLookup, 2)))</f>
        <v/>
      </c>
      <c r="DI56" s="2" t="str">
        <f ca="1">IF(DI$41="","",TEXTJOINARRAY("|",TRUE,FINDLINKS(DatasetLinks,MATCH("Dataset "&amp;MINDS!DI$55,OFFSET(DatasetLinks,0,0,1),0), "Publication ", PublicationLookup, 2)))</f>
        <v/>
      </c>
      <c r="DJ56" s="2" t="str">
        <f ca="1">IF(DJ$41="","",TEXTJOINARRAY("|",TRUE,FINDLINKS(DatasetLinks,MATCH("Dataset "&amp;MINDS!DJ$55,OFFSET(DatasetLinks,0,0,1),0), "Publication ", PublicationLookup, 2)))</f>
        <v/>
      </c>
      <c r="DK56" s="2" t="str">
        <f ca="1">IF(DK$41="","",TEXTJOINARRAY("|",TRUE,FINDLINKS(DatasetLinks,MATCH("Dataset "&amp;MINDS!DK$55,OFFSET(DatasetLinks,0,0,1),0), "Publication ", PublicationLookup, 2)))</f>
        <v/>
      </c>
      <c r="DL56" s="2" t="str">
        <f ca="1">IF(DL$41="","",TEXTJOINARRAY("|",TRUE,FINDLINKS(DatasetLinks,MATCH("Dataset "&amp;MINDS!DL$55,OFFSET(DatasetLinks,0,0,1),0), "Publication ", PublicationLookup, 2)))</f>
        <v/>
      </c>
      <c r="DM56" s="2" t="str">
        <f ca="1">IF(DM$41="","",TEXTJOINARRAY("|",TRUE,FINDLINKS(DatasetLinks,MATCH("Dataset "&amp;MINDS!DM$55,OFFSET(DatasetLinks,0,0,1),0), "Publication ", PublicationLookup, 2)))</f>
        <v/>
      </c>
      <c r="DN56" s="2" t="str">
        <f ca="1">IF(DN$41="","",TEXTJOINARRAY("|",TRUE,FINDLINKS(DatasetLinks,MATCH("Dataset "&amp;MINDS!DN$55,OFFSET(DatasetLinks,0,0,1),0), "Publication ", PublicationLookup, 2)))</f>
        <v/>
      </c>
      <c r="DO56" s="2" t="str">
        <f ca="1">IF(DO$41="","",TEXTJOINARRAY("|",TRUE,FINDLINKS(DatasetLinks,MATCH("Dataset "&amp;MINDS!DO$55,OFFSET(DatasetLinks,0,0,1),0), "Publication ", PublicationLookup, 2)))</f>
        <v/>
      </c>
      <c r="DP56" s="2" t="str">
        <f ca="1">IF(DP$41="","",TEXTJOINARRAY("|",TRUE,FINDLINKS(DatasetLinks,MATCH("Dataset "&amp;MINDS!DP$55,OFFSET(DatasetLinks,0,0,1),0), "Publication ", PublicationLookup, 2)))</f>
        <v/>
      </c>
      <c r="DQ56" s="2" t="str">
        <f ca="1">IF(DQ$41="","",TEXTJOINARRAY("|",TRUE,FINDLINKS(DatasetLinks,MATCH("Dataset "&amp;MINDS!DQ$55,OFFSET(DatasetLinks,0,0,1),0), "Publication ", PublicationLookup, 2)))</f>
        <v/>
      </c>
      <c r="DR56" s="2" t="str">
        <f ca="1">IF(DR$41="","",TEXTJOINARRAY("|",TRUE,FINDLINKS(DatasetLinks,MATCH("Dataset "&amp;MINDS!DR$55,OFFSET(DatasetLinks,0,0,1),0), "Publication ", PublicationLookup, 2)))</f>
        <v/>
      </c>
      <c r="DS56" s="2" t="str">
        <f ca="1">IF(DS$41="","",TEXTJOINARRAY("|",TRUE,FINDLINKS(DatasetLinks,MATCH("Dataset "&amp;MINDS!DS$55,OFFSET(DatasetLinks,0,0,1),0), "Publication ", PublicationLookup, 2)))</f>
        <v/>
      </c>
      <c r="DT56" s="2" t="str">
        <f ca="1">IF(DT$41="","",TEXTJOINARRAY("|",TRUE,FINDLINKS(DatasetLinks,MATCH("Dataset "&amp;MINDS!DT$55,OFFSET(DatasetLinks,0,0,1),0), "Publication ", PublicationLookup, 2)))</f>
        <v/>
      </c>
      <c r="DU56" s="2" t="str">
        <f ca="1">IF(DU$41="","",TEXTJOINARRAY("|",TRUE,FINDLINKS(DatasetLinks,MATCH("Dataset "&amp;MINDS!DU$55,OFFSET(DatasetLinks,0,0,1),0), "Publication ", PublicationLookup, 2)))</f>
        <v/>
      </c>
      <c r="DV56" s="2" t="str">
        <f ca="1">IF(DV$41="","",TEXTJOINARRAY("|",TRUE,FINDLINKS(DatasetLinks,MATCH("Dataset "&amp;MINDS!DV$55,OFFSET(DatasetLinks,0,0,1),0), "Publication ", PublicationLookup, 2)))</f>
        <v/>
      </c>
      <c r="DW56" s="2" t="str">
        <f ca="1">IF(DW$41="","",TEXTJOINARRAY("|",TRUE,FINDLINKS(DatasetLinks,MATCH("Dataset "&amp;MINDS!DW$55,OFFSET(DatasetLinks,0,0,1),0), "Publication ", PublicationLookup, 2)))</f>
        <v/>
      </c>
      <c r="DX56" s="2" t="str">
        <f ca="1">IF(DX$41="","",TEXTJOINARRAY("|",TRUE,FINDLINKS(DatasetLinks,MATCH("Dataset "&amp;MINDS!DX$55,OFFSET(DatasetLinks,0,0,1),0), "Publication ", PublicationLookup, 2)))</f>
        <v/>
      </c>
      <c r="DY56" s="2" t="str">
        <f ca="1">IF(DY$41="","",TEXTJOINARRAY("|",TRUE,FINDLINKS(DatasetLinks,MATCH("Dataset "&amp;MINDS!DY$55,OFFSET(DatasetLinks,0,0,1),0), "Publication ", PublicationLookup, 2)))</f>
        <v/>
      </c>
      <c r="DZ56" s="2" t="str">
        <f ca="1">IF(DZ$41="","",TEXTJOINARRAY("|",TRUE,FINDLINKS(DatasetLinks,MATCH("Dataset "&amp;MINDS!DZ$55,OFFSET(DatasetLinks,0,0,1),0), "Publication ", PublicationLookup, 2)))</f>
        <v/>
      </c>
      <c r="EA56" s="2" t="str">
        <f ca="1">IF(EA$41="","",TEXTJOINARRAY("|",TRUE,FINDLINKS(DatasetLinks,MATCH("Dataset "&amp;MINDS!EA$55,OFFSET(DatasetLinks,0,0,1),0), "Publication ", PublicationLookup, 2)))</f>
        <v/>
      </c>
      <c r="EB56" s="2" t="str">
        <f ca="1">IF(EB$41="","",TEXTJOINARRAY("|",TRUE,FINDLINKS(DatasetLinks,MATCH("Dataset "&amp;MINDS!EB$55,OFFSET(DatasetLinks,0,0,1),0), "Publication ", PublicationLookup, 2)))</f>
        <v/>
      </c>
      <c r="EC56" s="2" t="str">
        <f ca="1">IF(EC$41="","",TEXTJOINARRAY("|",TRUE,FINDLINKS(DatasetLinks,MATCH("Dataset "&amp;MINDS!EC$55,OFFSET(DatasetLinks,0,0,1),0), "Publication ", PublicationLookup, 2)))</f>
        <v/>
      </c>
      <c r="ED56" s="2" t="str">
        <f ca="1">IF(ED$41="","",TEXTJOINARRAY("|",TRUE,FINDLINKS(DatasetLinks,MATCH("Dataset "&amp;MINDS!ED$55,OFFSET(DatasetLinks,0,0,1),0), "Publication ", PublicationLookup, 2)))</f>
        <v/>
      </c>
      <c r="EE56" s="2" t="str">
        <f ca="1">IF(EE$41="","",TEXTJOINARRAY("|",TRUE,FINDLINKS(DatasetLinks,MATCH("Dataset "&amp;MINDS!EE$55,OFFSET(DatasetLinks,0,0,1),0), "Publication ", PublicationLookup, 2)))</f>
        <v/>
      </c>
      <c r="EF56" s="2" t="str">
        <f ca="1">IF(EF$41="","",TEXTJOINARRAY("|",TRUE,FINDLINKS(DatasetLinks,MATCH("Dataset "&amp;MINDS!EF$55,OFFSET(DatasetLinks,0,0,1),0), "Publication ", PublicationLookup, 2)))</f>
        <v/>
      </c>
      <c r="EG56" s="2" t="str">
        <f ca="1">IF(EG$41="","",TEXTJOINARRAY("|",TRUE,FINDLINKS(DatasetLinks,MATCH("Dataset "&amp;MINDS!EG$55,OFFSET(DatasetLinks,0,0,1),0), "Publication ", PublicationLookup, 2)))</f>
        <v/>
      </c>
      <c r="EH56" s="2" t="str">
        <f ca="1">IF(EH$41="","",TEXTJOINARRAY("|",TRUE,FINDLINKS(DatasetLinks,MATCH("Dataset "&amp;MINDS!EH$55,OFFSET(DatasetLinks,0,0,1),0), "Publication ", PublicationLookup, 2)))</f>
        <v/>
      </c>
      <c r="EI56" s="2" t="str">
        <f ca="1">IF(EI$41="","",TEXTJOINARRAY("|",TRUE,FINDLINKS(DatasetLinks,MATCH("Dataset "&amp;MINDS!EI$55,OFFSET(DatasetLinks,0,0,1),0), "Publication ", PublicationLookup, 2)))</f>
        <v/>
      </c>
      <c r="EJ56" s="2" t="str">
        <f ca="1">IF(EJ$41="","",TEXTJOINARRAY("|",TRUE,FINDLINKS(DatasetLinks,MATCH("Dataset "&amp;MINDS!EJ$55,OFFSET(DatasetLinks,0,0,1),0), "Publication ", PublicationLookup, 2)))</f>
        <v/>
      </c>
      <c r="EK56" s="2" t="str">
        <f ca="1">IF(EK$41="","",TEXTJOINARRAY("|",TRUE,FINDLINKS(DatasetLinks,MATCH("Dataset "&amp;MINDS!EK$55,OFFSET(DatasetLinks,0,0,1),0), "Publication ", PublicationLookup, 2)))</f>
        <v/>
      </c>
      <c r="EL56" s="2" t="str">
        <f ca="1">IF(EL$41="","",TEXTJOINARRAY("|",TRUE,FINDLINKS(DatasetLinks,MATCH("Dataset "&amp;MINDS!EL$55,OFFSET(DatasetLinks,0,0,1),0), "Publication ", PublicationLookup, 2)))</f>
        <v/>
      </c>
      <c r="EM56" s="2" t="str">
        <f ca="1">IF(EM$41="","",TEXTJOINARRAY("|",TRUE,FINDLINKS(DatasetLinks,MATCH("Dataset "&amp;MINDS!EM$55,OFFSET(DatasetLinks,0,0,1),0), "Publication ", PublicationLookup, 2)))</f>
        <v/>
      </c>
      <c r="EN56" s="2" t="str">
        <f ca="1">IF(EN$41="","",TEXTJOINARRAY("|",TRUE,FINDLINKS(DatasetLinks,MATCH("Dataset "&amp;MINDS!EN$55,OFFSET(DatasetLinks,0,0,1),0), "Publication ", PublicationLookup, 2)))</f>
        <v/>
      </c>
      <c r="EO56" s="2" t="str">
        <f ca="1">IF(EO$41="","",TEXTJOINARRAY("|",TRUE,FINDLINKS(DatasetLinks,MATCH("Dataset "&amp;MINDS!EO$55,OFFSET(DatasetLinks,0,0,1),0), "Publication ", PublicationLookup, 2)))</f>
        <v/>
      </c>
      <c r="EP56" s="2" t="str">
        <f ca="1">IF(EP$41="","",TEXTJOINARRAY("|",TRUE,FINDLINKS(DatasetLinks,MATCH("Dataset "&amp;MINDS!EP$55,OFFSET(DatasetLinks,0,0,1),0), "Publication ", PublicationLookup, 2)))</f>
        <v/>
      </c>
      <c r="EQ56" s="2" t="str">
        <f ca="1">IF(EQ$41="","",TEXTJOINARRAY("|",TRUE,FINDLINKS(DatasetLinks,MATCH("Dataset "&amp;MINDS!EQ$55,OFFSET(DatasetLinks,0,0,1),0), "Publication ", PublicationLookup, 2)))</f>
        <v/>
      </c>
      <c r="ER56" s="2" t="str">
        <f ca="1">IF(ER$41="","",TEXTJOINARRAY("|",TRUE,FINDLINKS(DatasetLinks,MATCH("Dataset "&amp;MINDS!ER$55,OFFSET(DatasetLinks,0,0,1),0), "Publication ", PublicationLookup, 2)))</f>
        <v/>
      </c>
      <c r="ES56" s="2" t="str">
        <f ca="1">IF(ES$41="","",TEXTJOINARRAY("|",TRUE,FINDLINKS(DatasetLinks,MATCH("Dataset "&amp;MINDS!ES$55,OFFSET(DatasetLinks,0,0,1),0), "Publication ", PublicationLookup, 2)))</f>
        <v/>
      </c>
      <c r="ET56" s="2" t="str">
        <f ca="1">IF(ET$41="","",TEXTJOINARRAY("|",TRUE,FINDLINKS(DatasetLinks,MATCH("Dataset "&amp;MINDS!ET$55,OFFSET(DatasetLinks,0,0,1),0), "Publication ", PublicationLookup, 2)))</f>
        <v/>
      </c>
      <c r="EU56" s="2" t="str">
        <f ca="1">IF(EU$41="","",TEXTJOINARRAY("|",TRUE,FINDLINKS(DatasetLinks,MATCH("Dataset "&amp;MINDS!EU$55,OFFSET(DatasetLinks,0,0,1),0), "Publication ", PublicationLookup, 2)))</f>
        <v/>
      </c>
      <c r="EV56" s="2" t="str">
        <f ca="1">IF(EV$41="","",TEXTJOINARRAY("|",TRUE,FINDLINKS(DatasetLinks,MATCH("Dataset "&amp;MINDS!EV$55,OFFSET(DatasetLinks,0,0,1),0), "Publication ", PublicationLookup, 2)))</f>
        <v/>
      </c>
      <c r="EW56" s="2" t="str">
        <f ca="1">IF(EW$41="","",TEXTJOINARRAY("|",TRUE,FINDLINKS(DatasetLinks,MATCH("Dataset "&amp;MINDS!EW$55,OFFSET(DatasetLinks,0,0,1),0), "Publication ", PublicationLookup, 2)))</f>
        <v/>
      </c>
      <c r="EX56" s="2" t="str">
        <f ca="1">IF(EX$41="","",TEXTJOINARRAY("|",TRUE,FINDLINKS(DatasetLinks,MATCH("Dataset "&amp;MINDS!EX$55,OFFSET(DatasetLinks,0,0,1),0), "Publication ", PublicationLookup, 2)))</f>
        <v/>
      </c>
      <c r="EY56" s="2" t="str">
        <f ca="1">IF(EY$41="","",TEXTJOINARRAY("|",TRUE,FINDLINKS(DatasetLinks,MATCH("Dataset "&amp;MINDS!EY$55,OFFSET(DatasetLinks,0,0,1),0), "Publication ", PublicationLookup, 2)))</f>
        <v/>
      </c>
      <c r="EZ56" s="2" t="str">
        <f ca="1">IF(EZ$41="","",TEXTJOINARRAY("|",TRUE,FINDLINKS(DatasetLinks,MATCH("Dataset "&amp;MINDS!EZ$55,OFFSET(DatasetLinks,0,0,1),0), "Publication ", PublicationLookup, 2)))</f>
        <v/>
      </c>
      <c r="FA56" s="2" t="str">
        <f ca="1">IF(FA$41="","",TEXTJOINARRAY("|",TRUE,FINDLINKS(DatasetLinks,MATCH("Dataset "&amp;MINDS!FA$55,OFFSET(DatasetLinks,0,0,1),0), "Publication ", PublicationLookup, 2)))</f>
        <v/>
      </c>
      <c r="FB56" s="2" t="str">
        <f ca="1">IF(FB$41="","",TEXTJOINARRAY("|",TRUE,FINDLINKS(DatasetLinks,MATCH("Dataset "&amp;MINDS!FB$55,OFFSET(DatasetLinks,0,0,1),0), "Publication ", PublicationLookup, 2)))</f>
        <v/>
      </c>
      <c r="FC56" s="2" t="str">
        <f ca="1">IF(FC$41="","",TEXTJOINARRAY("|",TRUE,FINDLINKS(DatasetLinks,MATCH("Dataset "&amp;MINDS!FC$55,OFFSET(DatasetLinks,0,0,1),0), "Publication ", PublicationLookup, 2)))</f>
        <v/>
      </c>
      <c r="FD56" s="2" t="str">
        <f ca="1">IF(FD$41="","",TEXTJOINARRAY("|",TRUE,FINDLINKS(DatasetLinks,MATCH("Dataset "&amp;MINDS!FD$55,OFFSET(DatasetLinks,0,0,1),0), "Publication ", PublicationLookup, 2)))</f>
        <v/>
      </c>
      <c r="FE56" s="2" t="str">
        <f ca="1">IF(FE$41="","",TEXTJOINARRAY("|",TRUE,FINDLINKS(DatasetLinks,MATCH("Dataset "&amp;MINDS!FE$55,OFFSET(DatasetLinks,0,0,1),0), "Publication ", PublicationLookup, 2)))</f>
        <v/>
      </c>
      <c r="FF56" s="2" t="str">
        <f ca="1">IF(FF$41="","",TEXTJOINARRAY("|",TRUE,FINDLINKS(DatasetLinks,MATCH("Dataset "&amp;MINDS!FF$55,OFFSET(DatasetLinks,0,0,1),0), "Publication ", PublicationLookup, 2)))</f>
        <v/>
      </c>
      <c r="FG56" s="2" t="str">
        <f ca="1">IF(FG$41="","",TEXTJOINARRAY("|",TRUE,FINDLINKS(DatasetLinks,MATCH("Dataset "&amp;MINDS!FG$55,OFFSET(DatasetLinks,0,0,1),0), "Publication ", PublicationLookup, 2)))</f>
        <v/>
      </c>
      <c r="FH56" s="2" t="str">
        <f ca="1">IF(FH$41="","",TEXTJOINARRAY("|",TRUE,FINDLINKS(DatasetLinks,MATCH("Dataset "&amp;MINDS!FH$55,OFFSET(DatasetLinks,0,0,1),0), "Publication ", PublicationLookup, 2)))</f>
        <v/>
      </c>
      <c r="FI56" s="2" t="str">
        <f ca="1">IF(FI$41="","",TEXTJOINARRAY("|",TRUE,FINDLINKS(DatasetLinks,MATCH("Dataset "&amp;MINDS!FI$55,OFFSET(DatasetLinks,0,0,1),0), "Publication ", PublicationLookup, 2)))</f>
        <v/>
      </c>
      <c r="FJ56" s="2" t="str">
        <f ca="1">IF(FJ$41="","",TEXTJOINARRAY("|",TRUE,FINDLINKS(DatasetLinks,MATCH("Dataset "&amp;MINDS!FJ$55,OFFSET(DatasetLinks,0,0,1),0), "Publication ", PublicationLookup, 2)))</f>
        <v/>
      </c>
      <c r="FK56" s="2" t="str">
        <f ca="1">IF(FK$41="","",TEXTJOINARRAY("|",TRUE,FINDLINKS(DatasetLinks,MATCH("Dataset "&amp;MINDS!FK$55,OFFSET(DatasetLinks,0,0,1),0), "Publication ", PublicationLookup, 2)))</f>
        <v/>
      </c>
      <c r="FL56" s="2" t="str">
        <f ca="1">IF(FL$41="","",TEXTJOINARRAY("|",TRUE,FINDLINKS(DatasetLinks,MATCH("Dataset "&amp;MINDS!FL$55,OFFSET(DatasetLinks,0,0,1),0), "Publication ", PublicationLookup, 2)))</f>
        <v/>
      </c>
      <c r="FM56" s="2" t="str">
        <f ca="1">IF(FM$41="","",TEXTJOINARRAY("|",TRUE,FINDLINKS(DatasetLinks,MATCH("Dataset "&amp;MINDS!FM$55,OFFSET(DatasetLinks,0,0,1),0), "Publication ", PublicationLookup, 2)))</f>
        <v/>
      </c>
      <c r="FN56" s="2" t="str">
        <f ca="1">IF(FN$41="","",TEXTJOINARRAY("|",TRUE,FINDLINKS(DatasetLinks,MATCH("Dataset "&amp;MINDS!FN$55,OFFSET(DatasetLinks,0,0,1),0), "Publication ", PublicationLookup, 2)))</f>
        <v/>
      </c>
      <c r="FO56" s="2" t="str">
        <f ca="1">IF(FO$41="","",TEXTJOINARRAY("|",TRUE,FINDLINKS(DatasetLinks,MATCH("Dataset "&amp;MINDS!FO$55,OFFSET(DatasetLinks,0,0,1),0), "Publication ", PublicationLookup, 2)))</f>
        <v/>
      </c>
      <c r="FP56" s="2" t="str">
        <f ca="1">IF(FP$41="","",TEXTJOINARRAY("|",TRUE,FINDLINKS(DatasetLinks,MATCH("Dataset "&amp;MINDS!FP$55,OFFSET(DatasetLinks,0,0,1),0), "Publication ", PublicationLookup, 2)))</f>
        <v/>
      </c>
      <c r="FQ56" s="2" t="str">
        <f ca="1">IF(FQ$41="","",TEXTJOINARRAY("|",TRUE,FINDLINKS(DatasetLinks,MATCH("Dataset "&amp;MINDS!FQ$55,OFFSET(DatasetLinks,0,0,1),0), "Publication ", PublicationLookup, 2)))</f>
        <v/>
      </c>
      <c r="FR56" s="2" t="str">
        <f ca="1">IF(FR$41="","",TEXTJOINARRAY("|",TRUE,FINDLINKS(DatasetLinks,MATCH("Dataset "&amp;MINDS!FR$55,OFFSET(DatasetLinks,0,0,1),0), "Publication ", PublicationLookup, 2)))</f>
        <v/>
      </c>
      <c r="FS56" s="2" t="str">
        <f ca="1">IF(FS$41="","",TEXTJOINARRAY("|",TRUE,FINDLINKS(DatasetLinks,MATCH("Dataset "&amp;MINDS!FS$55,OFFSET(DatasetLinks,0,0,1),0), "Publication ", PublicationLookup, 2)))</f>
        <v/>
      </c>
      <c r="FT56" s="2" t="str">
        <f ca="1">IF(FT$41="","",TEXTJOINARRAY("|",TRUE,FINDLINKS(DatasetLinks,MATCH("Dataset "&amp;MINDS!FT$55,OFFSET(DatasetLinks,0,0,1),0), "Publication ", PublicationLookup, 2)))</f>
        <v/>
      </c>
      <c r="FU56" s="2" t="str">
        <f ca="1">IF(FU$41="","",TEXTJOINARRAY("|",TRUE,FINDLINKS(DatasetLinks,MATCH("Dataset "&amp;MINDS!FU$55,OFFSET(DatasetLinks,0,0,1),0), "Publication ", PublicationLookup, 2)))</f>
        <v/>
      </c>
      <c r="FV56" s="2" t="str">
        <f ca="1">IF(FV$41="","",TEXTJOINARRAY("|",TRUE,FINDLINKS(DatasetLinks,MATCH("Dataset "&amp;MINDS!FV$55,OFFSET(DatasetLinks,0,0,1),0), "Publication ", PublicationLookup, 2)))</f>
        <v/>
      </c>
      <c r="FW56" s="2" t="str">
        <f ca="1">IF(FW$41="","",TEXTJOINARRAY("|",TRUE,FINDLINKS(DatasetLinks,MATCH("Dataset "&amp;MINDS!FW$55,OFFSET(DatasetLinks,0,0,1),0), "Publication ", PublicationLookup, 2)))</f>
        <v/>
      </c>
      <c r="FX56" s="2" t="str">
        <f ca="1">IF(FX$41="","",TEXTJOINARRAY("|",TRUE,FINDLINKS(DatasetLinks,MATCH("Dataset "&amp;MINDS!FX$55,OFFSET(DatasetLinks,0,0,1),0), "Publication ", PublicationLookup, 2)))</f>
        <v/>
      </c>
      <c r="FY56" s="2" t="str">
        <f ca="1">IF(FY$41="","",TEXTJOINARRAY("|",TRUE,FINDLINKS(DatasetLinks,MATCH("Dataset "&amp;MINDS!FY$55,OFFSET(DatasetLinks,0,0,1),0), "Publication ", PublicationLookup, 2)))</f>
        <v/>
      </c>
      <c r="FZ56" s="2" t="str">
        <f ca="1">IF(FZ$41="","",TEXTJOINARRAY("|",TRUE,FINDLINKS(DatasetLinks,MATCH("Dataset "&amp;MINDS!FZ$55,OFFSET(DatasetLinks,0,0,1),0), "Publication ", PublicationLookup, 2)))</f>
        <v/>
      </c>
      <c r="GA56" s="2" t="str">
        <f ca="1">IF(GA$41="","",TEXTJOINARRAY("|",TRUE,FINDLINKS(DatasetLinks,MATCH("Dataset "&amp;MINDS!GA$55,OFFSET(DatasetLinks,0,0,1),0), "Publication ", PublicationLookup, 2)))</f>
        <v/>
      </c>
      <c r="GB56" s="2" t="str">
        <f ca="1">IF(GB$41="","",TEXTJOINARRAY("|",TRUE,FINDLINKS(DatasetLinks,MATCH("Dataset "&amp;MINDS!GB$55,OFFSET(DatasetLinks,0,0,1),0), "Publication ", PublicationLookup, 2)))</f>
        <v/>
      </c>
      <c r="GC56" s="2" t="str">
        <f ca="1">IF(GC$41="","",TEXTJOINARRAY("|",TRUE,FINDLINKS(DatasetLinks,MATCH("Dataset "&amp;MINDS!GC$55,OFFSET(DatasetLinks,0,0,1),0), "Publication ", PublicationLookup, 2)))</f>
        <v/>
      </c>
      <c r="GD56" s="2" t="str">
        <f ca="1">IF(GD$41="","",TEXTJOINARRAY("|",TRUE,FINDLINKS(DatasetLinks,MATCH("Dataset "&amp;MINDS!GD$55,OFFSET(DatasetLinks,0,0,1),0), "Publication ", PublicationLookup, 2)))</f>
        <v/>
      </c>
      <c r="GE56" s="2" t="str">
        <f ca="1">IF(GE$41="","",TEXTJOINARRAY("|",TRUE,FINDLINKS(DatasetLinks,MATCH("Dataset "&amp;MINDS!GE$55,OFFSET(DatasetLinks,0,0,1),0), "Publication ", PublicationLookup, 2)))</f>
        <v/>
      </c>
      <c r="GF56" s="2" t="str">
        <f ca="1">IF(GF$41="","",TEXTJOINARRAY("|",TRUE,FINDLINKS(DatasetLinks,MATCH("Dataset "&amp;MINDS!GF$55,OFFSET(DatasetLinks,0,0,1),0), "Publication ", PublicationLookup, 2)))</f>
        <v/>
      </c>
      <c r="GG56" s="2" t="str">
        <f ca="1">IF(GG$41="","",TEXTJOINARRAY("|",TRUE,FINDLINKS(DatasetLinks,MATCH("Dataset "&amp;MINDS!GG$55,OFFSET(DatasetLinks,0,0,1),0), "Publication ", PublicationLookup, 2)))</f>
        <v/>
      </c>
      <c r="GH56" s="2" t="str">
        <f ca="1">IF(GH$41="","",TEXTJOINARRAY("|",TRUE,FINDLINKS(DatasetLinks,MATCH("Dataset "&amp;MINDS!GH$55,OFFSET(DatasetLinks,0,0,1),0), "Publication ", PublicationLookup, 2)))</f>
        <v/>
      </c>
      <c r="GI56" s="2" t="str">
        <f ca="1">IF(GI$41="","",TEXTJOINARRAY("|",TRUE,FINDLINKS(DatasetLinks,MATCH("Dataset "&amp;MINDS!GI$55,OFFSET(DatasetLinks,0,0,1),0), "Publication ", PublicationLookup, 2)))</f>
        <v/>
      </c>
      <c r="GJ56" s="2" t="str">
        <f ca="1">IF(GJ$41="","",TEXTJOINARRAY("|",TRUE,FINDLINKS(DatasetLinks,MATCH("Dataset "&amp;MINDS!GJ$55,OFFSET(DatasetLinks,0,0,1),0), "Publication ", PublicationLookup, 2)))</f>
        <v/>
      </c>
      <c r="GK56" s="2" t="str">
        <f ca="1">IF(GK$41="","",TEXTJOINARRAY("|",TRUE,FINDLINKS(DatasetLinks,MATCH("Dataset "&amp;MINDS!GK$55,OFFSET(DatasetLinks,0,0,1),0), "Publication ", PublicationLookup, 2)))</f>
        <v/>
      </c>
      <c r="GL56" s="2" t="str">
        <f ca="1">IF(GL$41="","",TEXTJOINARRAY("|",TRUE,FINDLINKS(DatasetLinks,MATCH("Dataset "&amp;MINDS!GL$55,OFFSET(DatasetLinks,0,0,1),0), "Publication ", PublicationLookup, 2)))</f>
        <v/>
      </c>
      <c r="GM56" s="2" t="str">
        <f ca="1">IF(GM$41="","",TEXTJOINARRAY("|",TRUE,FINDLINKS(DatasetLinks,MATCH("Dataset "&amp;MINDS!GM$55,OFFSET(DatasetLinks,0,0,1),0), "Publication ", PublicationLookup, 2)))</f>
        <v/>
      </c>
      <c r="GN56" s="2" t="str">
        <f ca="1">IF(GN$41="","",TEXTJOINARRAY("|",TRUE,FINDLINKS(DatasetLinks,MATCH("Dataset "&amp;MINDS!GN$55,OFFSET(DatasetLinks,0,0,1),0), "Publication ", PublicationLookup, 2)))</f>
        <v/>
      </c>
      <c r="GO56" s="2" t="str">
        <f ca="1">IF(GO$41="","",TEXTJOINARRAY("|",TRUE,FINDLINKS(DatasetLinks,MATCH("Dataset "&amp;MINDS!GO$55,OFFSET(DatasetLinks,0,0,1),0), "Publication ", PublicationLookup, 2)))</f>
        <v/>
      </c>
      <c r="GP56" s="2" t="str">
        <f ca="1">IF(GP$41="","",TEXTJOINARRAY("|",TRUE,FINDLINKS(DatasetLinks,MATCH("Dataset "&amp;MINDS!GP$55,OFFSET(DatasetLinks,0,0,1),0), "Publication ", PublicationLookup, 2)))</f>
        <v/>
      </c>
      <c r="GQ56" s="2" t="str">
        <f ca="1">IF(GQ$41="","",TEXTJOINARRAY("|",TRUE,FINDLINKS(DatasetLinks,MATCH("Dataset "&amp;MINDS!GQ$55,OFFSET(DatasetLinks,0,0,1),0), "Publication ", PublicationLookup, 2)))</f>
        <v/>
      </c>
      <c r="GR56" s="2" t="str">
        <f ca="1">IF(GR$41="","",TEXTJOINARRAY("|",TRUE,FINDLINKS(DatasetLinks,MATCH("Dataset "&amp;MINDS!GR$55,OFFSET(DatasetLinks,0,0,1),0), "Publication ", PublicationLookup, 2)))</f>
        <v/>
      </c>
      <c r="GS56" s="2" t="str">
        <f ca="1">IF(GS$41="","",TEXTJOINARRAY("|",TRUE,FINDLINKS(DatasetLinks,MATCH("Dataset "&amp;MINDS!GS$55,OFFSET(DatasetLinks,0,0,1),0), "Publication ", PublicationLookup, 2)))</f>
        <v/>
      </c>
      <c r="GT56" s="2" t="str">
        <f ca="1">IF(GT$41="","",TEXTJOINARRAY("|",TRUE,FINDLINKS(DatasetLinks,MATCH("Dataset "&amp;MINDS!GT$55,OFFSET(DatasetLinks,0,0,1),0), "Publication ", PublicationLookup, 2)))</f>
        <v/>
      </c>
      <c r="GU56" s="2" t="str">
        <f ca="1">IF(GU$41="","",TEXTJOINARRAY("|",TRUE,FINDLINKS(DatasetLinks,MATCH("Dataset "&amp;MINDS!GU$55,OFFSET(DatasetLinks,0,0,1),0), "Publication ", PublicationLookup, 2)))</f>
        <v/>
      </c>
      <c r="GV56" s="2" t="str">
        <f ca="1">IF(GV$41="","",TEXTJOINARRAY("|",TRUE,FINDLINKS(DatasetLinks,MATCH("Dataset "&amp;MINDS!GV$55,OFFSET(DatasetLinks,0,0,1),0), "Publication ", PublicationLookup, 2)))</f>
        <v/>
      </c>
      <c r="GW56" s="2" t="str">
        <f ca="1">IF(GW$41="","",TEXTJOINARRAY("|",TRUE,FINDLINKS(DatasetLinks,MATCH("Dataset "&amp;MINDS!GW$55,OFFSET(DatasetLinks,0,0,1),0), "Publication ", PublicationLookup, 2)))</f>
        <v/>
      </c>
      <c r="GX56" s="2" t="str">
        <f ca="1">IF(GX$41="","",TEXTJOINARRAY("|",TRUE,FINDLINKS(DatasetLinks,MATCH("Dataset "&amp;MINDS!GX$55,OFFSET(DatasetLinks,0,0,1),0), "Publication ", PublicationLookup, 2)))</f>
        <v/>
      </c>
      <c r="GY56" s="2" t="str">
        <f ca="1">IF(GY$41="","",TEXTJOINARRAY("|",TRUE,FINDLINKS(DatasetLinks,MATCH("Dataset "&amp;MINDS!GY$55,OFFSET(DatasetLinks,0,0,1),0), "Publication ", PublicationLookup, 2)))</f>
        <v/>
      </c>
      <c r="GZ56" s="2" t="str">
        <f ca="1">IF(GZ$41="","",TEXTJOINARRAY("|",TRUE,FINDLINKS(DatasetLinks,MATCH("Dataset "&amp;MINDS!GZ$55,OFFSET(DatasetLinks,0,0,1),0), "Publication ", PublicationLookup, 2)))</f>
        <v/>
      </c>
      <c r="HA56" s="2" t="str">
        <f ca="1">IF(HA$41="","",TEXTJOINARRAY("|",TRUE,FINDLINKS(DatasetLinks,MATCH("Dataset "&amp;MINDS!HA$55,OFFSET(DatasetLinks,0,0,1),0), "Publication ", PublicationLookup, 2)))</f>
        <v/>
      </c>
      <c r="HB56" s="2" t="str">
        <f ca="1">IF(HB$41="","",TEXTJOINARRAY("|",TRUE,FINDLINKS(DatasetLinks,MATCH("Dataset "&amp;MINDS!HB$55,OFFSET(DatasetLinks,0,0,1),0), "Publication ", PublicationLookup, 2)))</f>
        <v/>
      </c>
      <c r="HC56" s="2" t="str">
        <f ca="1">IF(HC$41="","",TEXTJOINARRAY("|",TRUE,FINDLINKS(DatasetLinks,MATCH("Dataset "&amp;MINDS!HC$55,OFFSET(DatasetLinks,0,0,1),0), "Publication ", PublicationLookup, 2)))</f>
        <v/>
      </c>
      <c r="HD56" s="2" t="str">
        <f ca="1">IF(HD$41="","",TEXTJOINARRAY("|",TRUE,FINDLINKS(DatasetLinks,MATCH("Dataset "&amp;MINDS!HD$55,OFFSET(DatasetLinks,0,0,1),0), "Publication ", PublicationLookup, 2)))</f>
        <v/>
      </c>
      <c r="HE56" s="2" t="str">
        <f ca="1">IF(HE$41="","",TEXTJOINARRAY("|",TRUE,FINDLINKS(DatasetLinks,MATCH("Dataset "&amp;MINDS!HE$55,OFFSET(DatasetLinks,0,0,1),0), "Publication ", PublicationLookup, 2)))</f>
        <v/>
      </c>
      <c r="HF56" s="2" t="str">
        <f ca="1">IF(HF$41="","",TEXTJOINARRAY("|",TRUE,FINDLINKS(DatasetLinks,MATCH("Dataset "&amp;MINDS!HF$55,OFFSET(DatasetLinks,0,0,1),0), "Publication ", PublicationLookup, 2)))</f>
        <v/>
      </c>
      <c r="HG56" s="2" t="str">
        <f ca="1">IF(HG$41="","",TEXTJOINARRAY("|",TRUE,FINDLINKS(DatasetLinks,MATCH("Dataset "&amp;MINDS!HG$55,OFFSET(DatasetLinks,0,0,1),0), "Publication ", PublicationLookup, 2)))</f>
        <v/>
      </c>
      <c r="HH56" s="2" t="str">
        <f ca="1">IF(HH$41="","",TEXTJOINARRAY("|",TRUE,FINDLINKS(DatasetLinks,MATCH("Dataset "&amp;MINDS!HH$55,OFFSET(DatasetLinks,0,0,1),0), "Publication ", PublicationLookup, 2)))</f>
        <v/>
      </c>
      <c r="HI56" s="2" t="str">
        <f ca="1">IF(HI$41="","",TEXTJOINARRAY("|",TRUE,FINDLINKS(DatasetLinks,MATCH("Dataset "&amp;MINDS!HI$55,OFFSET(DatasetLinks,0,0,1),0), "Publication ", PublicationLookup, 2)))</f>
        <v/>
      </c>
      <c r="HJ56" s="2" t="str">
        <f ca="1">IF(HJ$41="","",TEXTJOINARRAY("|",TRUE,FINDLINKS(DatasetLinks,MATCH("Dataset "&amp;MINDS!HJ$55,OFFSET(DatasetLinks,0,0,1),0), "Publication ", PublicationLookup, 2)))</f>
        <v/>
      </c>
      <c r="HK56" s="2" t="str">
        <f ca="1">IF(HK$41="","",TEXTJOINARRAY("|",TRUE,FINDLINKS(DatasetLinks,MATCH("Dataset "&amp;MINDS!HK$55,OFFSET(DatasetLinks,0,0,1),0), "Publication ", PublicationLookup, 2)))</f>
        <v/>
      </c>
      <c r="HL56" s="2" t="str">
        <f ca="1">IF(HL$41="","",TEXTJOINARRAY("|",TRUE,FINDLINKS(DatasetLinks,MATCH("Dataset "&amp;MINDS!HL$55,OFFSET(DatasetLinks,0,0,1),0), "Publication ", PublicationLookup, 2)))</f>
        <v/>
      </c>
      <c r="HM56" s="2" t="str">
        <f ca="1">IF(HM$41="","",TEXTJOINARRAY("|",TRUE,FINDLINKS(DatasetLinks,MATCH("Dataset "&amp;MINDS!HM$55,OFFSET(DatasetLinks,0,0,1),0), "Publication ", PublicationLookup, 2)))</f>
        <v/>
      </c>
      <c r="HN56" s="2" t="str">
        <f ca="1">IF(HN$41="","",TEXTJOINARRAY("|",TRUE,FINDLINKS(DatasetLinks,MATCH("Dataset "&amp;MINDS!HN$55,OFFSET(DatasetLinks,0,0,1),0), "Publication ", PublicationLookup, 2)))</f>
        <v/>
      </c>
      <c r="HO56" s="2" t="str">
        <f ca="1">IF(HO$41="","",TEXTJOINARRAY("|",TRUE,FINDLINKS(DatasetLinks,MATCH("Dataset "&amp;MINDS!HO$55,OFFSET(DatasetLinks,0,0,1),0), "Publication ", PublicationLookup, 2)))</f>
        <v/>
      </c>
      <c r="HP56" s="2" t="str">
        <f ca="1">IF(HP$41="","",TEXTJOINARRAY("|",TRUE,FINDLINKS(DatasetLinks,MATCH("Dataset "&amp;MINDS!HP$55,OFFSET(DatasetLinks,0,0,1),0), "Publication ", PublicationLookup, 2)))</f>
        <v/>
      </c>
      <c r="HQ56" s="2" t="str">
        <f ca="1">IF(HQ$41="","",TEXTJOINARRAY("|",TRUE,FINDLINKS(DatasetLinks,MATCH("Dataset "&amp;MINDS!HQ$55,OFFSET(DatasetLinks,0,0,1),0), "Publication ", PublicationLookup, 2)))</f>
        <v/>
      </c>
      <c r="HR56" s="2" t="str">
        <f ca="1">IF(HR$41="","",TEXTJOINARRAY("|",TRUE,FINDLINKS(DatasetLinks,MATCH("Dataset "&amp;MINDS!HR$55,OFFSET(DatasetLinks,0,0,1),0), "Publication ", PublicationLookup, 2)))</f>
        <v/>
      </c>
      <c r="HS56" s="2" t="str">
        <f ca="1">IF(HS$41="","",TEXTJOINARRAY("|",TRUE,FINDLINKS(DatasetLinks,MATCH("Dataset "&amp;MINDS!HS$55,OFFSET(DatasetLinks,0,0,1),0), "Publication ", PublicationLookup, 2)))</f>
        <v/>
      </c>
      <c r="HT56" s="2" t="str">
        <f ca="1">IF(HT$41="","",TEXTJOINARRAY("|",TRUE,FINDLINKS(DatasetLinks,MATCH("Dataset "&amp;MINDS!HT$55,OFFSET(DatasetLinks,0,0,1),0), "Publication ", PublicationLookup, 2)))</f>
        <v/>
      </c>
      <c r="HU56" s="2" t="str">
        <f ca="1">IF(HU$41="","",TEXTJOINARRAY("|",TRUE,FINDLINKS(DatasetLinks,MATCH("Dataset "&amp;MINDS!HU$55,OFFSET(DatasetLinks,0,0,1),0), "Publication ", PublicationLookup, 2)))</f>
        <v/>
      </c>
      <c r="HV56" s="2" t="str">
        <f ca="1">IF(HV$41="","",TEXTJOINARRAY("|",TRUE,FINDLINKS(DatasetLinks,MATCH("Dataset "&amp;MINDS!HV$55,OFFSET(DatasetLinks,0,0,1),0), "Publication ", PublicationLookup, 2)))</f>
        <v/>
      </c>
      <c r="HW56" s="2" t="str">
        <f ca="1">IF(HW$41="","",TEXTJOINARRAY("|",TRUE,FINDLINKS(DatasetLinks,MATCH("Dataset "&amp;MINDS!HW$55,OFFSET(DatasetLinks,0,0,1),0), "Publication ", PublicationLookup, 2)))</f>
        <v/>
      </c>
      <c r="HX56" s="2" t="str">
        <f ca="1">IF(HX$41="","",TEXTJOINARRAY("|",TRUE,FINDLINKS(DatasetLinks,MATCH("Dataset "&amp;MINDS!HX$55,OFFSET(DatasetLinks,0,0,1),0), "Publication ", PublicationLookup, 2)))</f>
        <v/>
      </c>
      <c r="HY56" s="2" t="str">
        <f ca="1">IF(HY$41="","",TEXTJOINARRAY("|",TRUE,FINDLINKS(DatasetLinks,MATCH("Dataset "&amp;MINDS!HY$55,OFFSET(DatasetLinks,0,0,1),0), "Publication ", PublicationLookup, 2)))</f>
        <v/>
      </c>
      <c r="HZ56" s="2" t="str">
        <f ca="1">IF(HZ$41="","",TEXTJOINARRAY("|",TRUE,FINDLINKS(DatasetLinks,MATCH("Dataset "&amp;MINDS!HZ$55,OFFSET(DatasetLinks,0,0,1),0), "Publication ", PublicationLookup, 2)))</f>
        <v/>
      </c>
      <c r="IA56" s="2" t="str">
        <f ca="1">IF(IA$41="","",TEXTJOINARRAY("|",TRUE,FINDLINKS(DatasetLinks,MATCH("Dataset "&amp;MINDS!IA$55,OFFSET(DatasetLinks,0,0,1),0), "Publication ", PublicationLookup, 2)))</f>
        <v/>
      </c>
      <c r="IB56" s="2" t="str">
        <f ca="1">IF(IB$41="","",TEXTJOINARRAY("|",TRUE,FINDLINKS(DatasetLinks,MATCH("Dataset "&amp;MINDS!IB$55,OFFSET(DatasetLinks,0,0,1),0), "Publication ", PublicationLookup, 2)))</f>
        <v/>
      </c>
      <c r="IC56" s="2" t="str">
        <f ca="1">IF(IC$41="","",TEXTJOINARRAY("|",TRUE,FINDLINKS(DatasetLinks,MATCH("Dataset "&amp;MINDS!IC$55,OFFSET(DatasetLinks,0,0,1),0), "Publication ", PublicationLookup, 2)))</f>
        <v/>
      </c>
      <c r="ID56" s="2" t="str">
        <f ca="1">IF(ID$41="","",TEXTJOINARRAY("|",TRUE,FINDLINKS(DatasetLinks,MATCH("Dataset "&amp;MINDS!ID$55,OFFSET(DatasetLinks,0,0,1),0), "Publication ", PublicationLookup, 2)))</f>
        <v/>
      </c>
      <c r="IE56" s="2" t="str">
        <f ca="1">IF(IE$41="","",TEXTJOINARRAY("|",TRUE,FINDLINKS(DatasetLinks,MATCH("Dataset "&amp;MINDS!IE$55,OFFSET(DatasetLinks,0,0,1),0), "Publication ", PublicationLookup, 2)))</f>
        <v/>
      </c>
      <c r="IF56" s="2" t="str">
        <f ca="1">IF(IF$41="","",TEXTJOINARRAY("|",TRUE,FINDLINKS(DatasetLinks,MATCH("Dataset "&amp;MINDS!IF$55,OFFSET(DatasetLinks,0,0,1),0), "Publication ", PublicationLookup, 2)))</f>
        <v/>
      </c>
      <c r="IG56" s="2" t="str">
        <f ca="1">IF(IG$41="","",TEXTJOINARRAY("|",TRUE,FINDLINKS(DatasetLinks,MATCH("Dataset "&amp;MINDS!IG$55,OFFSET(DatasetLinks,0,0,1),0), "Publication ", PublicationLookup, 2)))</f>
        <v/>
      </c>
      <c r="IH56" s="2" t="str">
        <f ca="1">IF(IH$41="","",TEXTJOINARRAY("|",TRUE,FINDLINKS(DatasetLinks,MATCH("Dataset "&amp;MINDS!IH$55,OFFSET(DatasetLinks,0,0,1),0), "Publication ", PublicationLookup, 2)))</f>
        <v/>
      </c>
      <c r="II56" s="2" t="str">
        <f ca="1">IF(II$41="","",TEXTJOINARRAY("|",TRUE,FINDLINKS(DatasetLinks,MATCH("Dataset "&amp;MINDS!II$55,OFFSET(DatasetLinks,0,0,1),0), "Publication ", PublicationLookup, 2)))</f>
        <v/>
      </c>
      <c r="IJ56" s="2" t="str">
        <f ca="1">IF(IJ$41="","",TEXTJOINARRAY("|",TRUE,FINDLINKS(DatasetLinks,MATCH("Dataset "&amp;MINDS!IJ$55,OFFSET(DatasetLinks,0,0,1),0), "Publication ", PublicationLookup, 2)))</f>
        <v/>
      </c>
      <c r="IK56" s="2" t="str">
        <f ca="1">IF(IK$41="","",TEXTJOINARRAY("|",TRUE,FINDLINKS(DatasetLinks,MATCH("Dataset "&amp;MINDS!IK$55,OFFSET(DatasetLinks,0,0,1),0), "Publication ", PublicationLookup, 2)))</f>
        <v/>
      </c>
      <c r="IL56" s="2" t="str">
        <f ca="1">IF(IL$41="","",TEXTJOINARRAY("|",TRUE,FINDLINKS(DatasetLinks,MATCH("Dataset "&amp;MINDS!IL$55,OFFSET(DatasetLinks,0,0,1),0), "Publication ", PublicationLookup, 2)))</f>
        <v/>
      </c>
      <c r="IM56" s="2" t="str">
        <f ca="1">IF(IM$41="","",TEXTJOINARRAY("|",TRUE,FINDLINKS(DatasetLinks,MATCH("Dataset "&amp;MINDS!IM$55,OFFSET(DatasetLinks,0,0,1),0), "Publication ", PublicationLookup, 2)))</f>
        <v/>
      </c>
      <c r="IN56" s="2" t="str">
        <f ca="1">IF(IN$41="","",TEXTJOINARRAY("|",TRUE,FINDLINKS(DatasetLinks,MATCH("Dataset "&amp;MINDS!IN$55,OFFSET(DatasetLinks,0,0,1),0), "Publication ", PublicationLookup, 2)))</f>
        <v/>
      </c>
      <c r="IO56" s="2" t="str">
        <f ca="1">IF(IO$41="","",TEXTJOINARRAY("|",TRUE,FINDLINKS(DatasetLinks,MATCH("Dataset "&amp;MINDS!IO$55,OFFSET(DatasetLinks,0,0,1),0), "Publication ", PublicationLookup, 2)))</f>
        <v/>
      </c>
      <c r="IP56" s="2" t="str">
        <f ca="1">IF(IP$41="","",TEXTJOINARRAY("|",TRUE,FINDLINKS(DatasetLinks,MATCH("Dataset "&amp;MINDS!IP$55,OFFSET(DatasetLinks,0,0,1),0), "Publication ", PublicationLookup, 2)))</f>
        <v/>
      </c>
      <c r="IQ56" s="2" t="str">
        <f ca="1">IF(IQ$41="","",TEXTJOINARRAY("|",TRUE,FINDLINKS(DatasetLinks,MATCH("Dataset "&amp;MINDS!IQ$55,OFFSET(DatasetLinks,0,0,1),0), "Publication ", PublicationLookup, 2)))</f>
        <v/>
      </c>
      <c r="IR56" s="2" t="str">
        <f ca="1">IF(IR$41="","",TEXTJOINARRAY("|",TRUE,FINDLINKS(DatasetLinks,MATCH("Dataset "&amp;MINDS!IR$55,OFFSET(DatasetLinks,0,0,1),0), "Publication ", PublicationLookup, 2)))</f>
        <v/>
      </c>
      <c r="IS56" s="2" t="str">
        <f ca="1">IF(IS$41="","",TEXTJOINARRAY("|",TRUE,FINDLINKS(DatasetLinks,MATCH("Dataset "&amp;MINDS!IS$55,OFFSET(DatasetLinks,0,0,1),0), "Publication ", PublicationLookup, 2)))</f>
        <v/>
      </c>
      <c r="IT56" s="2" t="str">
        <f ca="1">IF(IT$41="","",TEXTJOINARRAY("|",TRUE,FINDLINKS(DatasetLinks,MATCH("Dataset "&amp;MINDS!IT$55,OFFSET(DatasetLinks,0,0,1),0), "Publication ", PublicationLookup, 2)))</f>
        <v/>
      </c>
      <c r="IU56" s="2" t="str">
        <f ca="1">IF(IU$41="","",TEXTJOINARRAY("|",TRUE,FINDLINKS(DatasetLinks,MATCH("Dataset "&amp;MINDS!IU$55,OFFSET(DatasetLinks,0,0,1),0), "Publication ", PublicationLookup, 2)))</f>
        <v/>
      </c>
      <c r="IV56" s="2" t="str">
        <f ca="1">IF(IV$41="","",TEXTJOINARRAY("|",TRUE,FINDLINKS(DatasetLinks,MATCH("Dataset "&amp;MINDS!IV$55,OFFSET(DatasetLinks,0,0,1),0), "Publication ", PublicationLookup, 2)))</f>
        <v/>
      </c>
    </row>
    <row r="57" spans="1:256" x14ac:dyDescent="0.2">
      <c r="A57" s="3" t="s">
        <v>6</v>
      </c>
      <c r="C57" s="2" t="str">
        <f>IF(C$41="","",MINDS!C$63)</f>
        <v/>
      </c>
      <c r="D57" s="2" t="str">
        <f>IF(D$41="","",MINDS!D$63)</f>
        <v/>
      </c>
      <c r="E57" s="2" t="str">
        <f>IF(E$41="","",MINDS!E$63)</f>
        <v/>
      </c>
      <c r="F57" s="2" t="str">
        <f>IF(F$41="","",MINDS!F$63)</f>
        <v/>
      </c>
      <c r="G57" s="2" t="str">
        <f>IF(G$41="","",MINDS!G$63)</f>
        <v/>
      </c>
      <c r="H57" s="2" t="str">
        <f>IF(H$41="","",MINDS!H$63)</f>
        <v/>
      </c>
      <c r="I57" s="2" t="str">
        <f>IF(I$41="","",MINDS!I$63)</f>
        <v/>
      </c>
      <c r="J57" s="2" t="str">
        <f>IF(J$41="","",MINDS!J$63)</f>
        <v/>
      </c>
      <c r="K57" s="2" t="str">
        <f>IF(K$41="","",MINDS!K$63)</f>
        <v/>
      </c>
      <c r="L57" s="2" t="str">
        <f>IF(L$41="","",MINDS!L$63)</f>
        <v/>
      </c>
      <c r="M57" s="2" t="str">
        <f>IF(M$41="","",MINDS!M$63)</f>
        <v/>
      </c>
      <c r="N57" s="2" t="str">
        <f>IF(N$41="","",MINDS!N$63)</f>
        <v/>
      </c>
      <c r="O57" s="2" t="str">
        <f>IF(O$41="","",MINDS!O$63)</f>
        <v/>
      </c>
      <c r="P57" s="2" t="str">
        <f>IF(P$41="","",MINDS!P$63)</f>
        <v/>
      </c>
      <c r="Q57" s="2" t="str">
        <f>IF(Q$41="","",MINDS!Q$63)</f>
        <v/>
      </c>
      <c r="R57" s="2" t="str">
        <f>IF(R$41="","",MINDS!R$63)</f>
        <v/>
      </c>
      <c r="S57" s="2" t="str">
        <f>IF(S$41="","",MINDS!S$63)</f>
        <v/>
      </c>
      <c r="T57" s="2" t="str">
        <f>IF(T$41="","",MINDS!T$63)</f>
        <v/>
      </c>
      <c r="U57" s="2" t="str">
        <f>IF(U$41="","",MINDS!U$63)</f>
        <v/>
      </c>
      <c r="V57" s="2" t="str">
        <f>IF(V$41="","",MINDS!V$63)</f>
        <v/>
      </c>
      <c r="W57" s="2" t="str">
        <f>IF(W$41="","",MINDS!W$63)</f>
        <v/>
      </c>
      <c r="X57" s="2" t="str">
        <f>IF(X$41="","",MINDS!X$63)</f>
        <v/>
      </c>
      <c r="Y57" s="2" t="str">
        <f>IF(Y$41="","",MINDS!Y$63)</f>
        <v/>
      </c>
      <c r="Z57" s="2" t="str">
        <f>IF(Z$41="","",MINDS!Z$63)</f>
        <v/>
      </c>
      <c r="AA57" s="2" t="str">
        <f>IF(AA$41="","",MINDS!AA$63)</f>
        <v/>
      </c>
      <c r="AB57" s="2" t="str">
        <f>IF(AB$41="","",MINDS!AB$63)</f>
        <v/>
      </c>
      <c r="AC57" s="2" t="str">
        <f>IF(AC$41="","",MINDS!AC$63)</f>
        <v/>
      </c>
      <c r="AD57" s="2" t="str">
        <f>IF(AD$41="","",MINDS!AD$63)</f>
        <v/>
      </c>
      <c r="AE57" s="2" t="str">
        <f>IF(AE$41="","",MINDS!AE$63)</f>
        <v/>
      </c>
      <c r="AF57" s="2" t="str">
        <f>IF(AF$41="","",MINDS!AF$63)</f>
        <v/>
      </c>
      <c r="AG57" s="2" t="str">
        <f>IF(AG$41="","",MINDS!AG$63)</f>
        <v/>
      </c>
      <c r="AH57" s="2" t="str">
        <f>IF(AH$41="","",MINDS!AH$63)</f>
        <v/>
      </c>
      <c r="AI57" s="2" t="str">
        <f>IF(AI$41="","",MINDS!AI$63)</f>
        <v/>
      </c>
      <c r="AJ57" s="2" t="str">
        <f>IF(AJ$41="","",MINDS!AJ$63)</f>
        <v/>
      </c>
      <c r="AK57" s="2" t="str">
        <f>IF(AK$41="","",MINDS!AK$63)</f>
        <v/>
      </c>
      <c r="AL57" s="2" t="str">
        <f>IF(AL$41="","",MINDS!AL$63)</f>
        <v/>
      </c>
      <c r="AM57" s="2" t="str">
        <f>IF(AM$41="","",MINDS!AM$63)</f>
        <v/>
      </c>
      <c r="AN57" s="2" t="str">
        <f>IF(AN$41="","",MINDS!AN$63)</f>
        <v/>
      </c>
      <c r="AO57" s="2" t="str">
        <f>IF(AO$41="","",MINDS!AO$63)</f>
        <v/>
      </c>
      <c r="AP57" s="2" t="str">
        <f>IF(AP$41="","",MINDS!AP$63)</f>
        <v/>
      </c>
      <c r="AQ57" s="2" t="str">
        <f>IF(AQ$41="","",MINDS!AQ$63)</f>
        <v/>
      </c>
      <c r="AR57" s="2" t="str">
        <f>IF(AR$41="","",MINDS!AR$63)</f>
        <v/>
      </c>
      <c r="AS57" s="2" t="str">
        <f>IF(AS$41="","",MINDS!AS$63)</f>
        <v/>
      </c>
      <c r="AT57" s="2" t="str">
        <f>IF(AT$41="","",MINDS!AT$63)</f>
        <v/>
      </c>
      <c r="AU57" s="2" t="str">
        <f>IF(AU$41="","",MINDS!AU$63)</f>
        <v/>
      </c>
      <c r="AV57" s="2" t="str">
        <f>IF(AV$41="","",MINDS!AV$63)</f>
        <v/>
      </c>
      <c r="AW57" s="2" t="str">
        <f>IF(AW$41="","",MINDS!AW$63)</f>
        <v/>
      </c>
      <c r="AX57" s="2" t="str">
        <f>IF(AX$41="","",MINDS!AX$63)</f>
        <v/>
      </c>
      <c r="AY57" s="2" t="str">
        <f>IF(AY$41="","",MINDS!AY$63)</f>
        <v/>
      </c>
      <c r="AZ57" s="2" t="str">
        <f>IF(AZ$41="","",MINDS!AZ$63)</f>
        <v/>
      </c>
      <c r="BA57" s="2" t="str">
        <f>IF(BA$41="","",MINDS!BA$63)</f>
        <v/>
      </c>
      <c r="BB57" s="2" t="str">
        <f>IF(BB$41="","",MINDS!BB$63)</f>
        <v/>
      </c>
      <c r="BC57" s="2" t="str">
        <f>IF(BC$41="","",MINDS!BC$63)</f>
        <v/>
      </c>
      <c r="BD57" s="2" t="str">
        <f>IF(BD$41="","",MINDS!BD$63)</f>
        <v/>
      </c>
      <c r="BE57" s="2" t="str">
        <f>IF(BE$41="","",MINDS!BE$63)</f>
        <v/>
      </c>
      <c r="BF57" s="2" t="str">
        <f>IF(BF$41="","",MINDS!BF$63)</f>
        <v/>
      </c>
      <c r="BG57" s="2" t="str">
        <f>IF(BG$41="","",MINDS!BG$63)</f>
        <v/>
      </c>
      <c r="BH57" s="2" t="str">
        <f>IF(BH$41="","",MINDS!BH$63)</f>
        <v/>
      </c>
      <c r="BI57" s="2" t="str">
        <f>IF(BI$41="","",MINDS!BI$63)</f>
        <v/>
      </c>
      <c r="BJ57" s="2" t="str">
        <f>IF(BJ$41="","",MINDS!BJ$63)</f>
        <v/>
      </c>
      <c r="BK57" s="2" t="str">
        <f>IF(BK$41="","",MINDS!BK$63)</f>
        <v/>
      </c>
      <c r="BL57" s="2" t="str">
        <f>IF(BL$41="","",MINDS!BL$63)</f>
        <v/>
      </c>
      <c r="BM57" s="2" t="str">
        <f>IF(BM$41="","",MINDS!BM$63)</f>
        <v/>
      </c>
      <c r="BN57" s="2" t="str">
        <f>IF(BN$41="","",MINDS!BN$63)</f>
        <v/>
      </c>
      <c r="BO57" s="2" t="str">
        <f>IF(BO$41="","",MINDS!BO$63)</f>
        <v/>
      </c>
      <c r="BP57" s="2" t="str">
        <f>IF(BP$41="","",MINDS!BP$63)</f>
        <v/>
      </c>
      <c r="BQ57" s="2" t="str">
        <f>IF(BQ$41="","",MINDS!BQ$63)</f>
        <v/>
      </c>
      <c r="BR57" s="2" t="str">
        <f>IF(BR$41="","",MINDS!BR$63)</f>
        <v/>
      </c>
      <c r="BS57" s="2" t="str">
        <f>IF(BS$41="","",MINDS!BS$63)</f>
        <v/>
      </c>
      <c r="BT57" s="2" t="str">
        <f>IF(BT$41="","",MINDS!BT$63)</f>
        <v/>
      </c>
      <c r="BU57" s="2" t="str">
        <f>IF(BU$41="","",MINDS!BU$63)</f>
        <v/>
      </c>
      <c r="BV57" s="2" t="str">
        <f>IF(BV$41="","",MINDS!BV$63)</f>
        <v/>
      </c>
      <c r="BW57" s="2" t="str">
        <f>IF(BW$41="","",MINDS!BW$63)</f>
        <v/>
      </c>
      <c r="BX57" s="2" t="str">
        <f>IF(BX$41="","",MINDS!BX$63)</f>
        <v/>
      </c>
      <c r="BY57" s="2" t="str">
        <f>IF(BY$41="","",MINDS!BY$63)</f>
        <v/>
      </c>
      <c r="BZ57" s="2" t="str">
        <f>IF(BZ$41="","",MINDS!BZ$63)</f>
        <v/>
      </c>
      <c r="CA57" s="2" t="str">
        <f>IF(CA$41="","",MINDS!CA$63)</f>
        <v/>
      </c>
      <c r="CB57" s="2" t="str">
        <f>IF(CB$41="","",MINDS!CB$63)</f>
        <v/>
      </c>
      <c r="CC57" s="2" t="str">
        <f>IF(CC$41="","",MINDS!CC$63)</f>
        <v/>
      </c>
      <c r="CD57" s="2" t="str">
        <f>IF(CD$41="","",MINDS!CD$63)</f>
        <v/>
      </c>
      <c r="CE57" s="2" t="str">
        <f>IF(CE$41="","",MINDS!CE$63)</f>
        <v/>
      </c>
      <c r="CF57" s="2" t="str">
        <f>IF(CF$41="","",MINDS!CF$63)</f>
        <v/>
      </c>
      <c r="CG57" s="2" t="str">
        <f>IF(CG$41="","",MINDS!CG$63)</f>
        <v/>
      </c>
      <c r="CH57" s="2" t="str">
        <f>IF(CH$41="","",MINDS!CH$63)</f>
        <v/>
      </c>
      <c r="CI57" s="2" t="str">
        <f>IF(CI$41="","",MINDS!CI$63)</f>
        <v/>
      </c>
      <c r="CJ57" s="2" t="str">
        <f>IF(CJ$41="","",MINDS!CJ$63)</f>
        <v/>
      </c>
      <c r="CK57" s="2" t="str">
        <f>IF(CK$41="","",MINDS!CK$63)</f>
        <v/>
      </c>
      <c r="CL57" s="2" t="str">
        <f>IF(CL$41="","",MINDS!CL$63)</f>
        <v/>
      </c>
      <c r="CM57" s="2" t="str">
        <f>IF(CM$41="","",MINDS!CM$63)</f>
        <v/>
      </c>
      <c r="CN57" s="2" t="str">
        <f>IF(CN$41="","",MINDS!CN$63)</f>
        <v/>
      </c>
      <c r="CO57" s="2" t="str">
        <f>IF(CO$41="","",MINDS!CO$63)</f>
        <v/>
      </c>
      <c r="CP57" s="2" t="str">
        <f>IF(CP$41="","",MINDS!CP$63)</f>
        <v/>
      </c>
      <c r="CQ57" s="2" t="str">
        <f>IF(CQ$41="","",MINDS!CQ$63)</f>
        <v/>
      </c>
      <c r="CR57" s="2" t="str">
        <f>IF(CR$41="","",MINDS!CR$63)</f>
        <v/>
      </c>
      <c r="CS57" s="2" t="str">
        <f>IF(CS$41="","",MINDS!CS$63)</f>
        <v/>
      </c>
      <c r="CT57" s="2" t="str">
        <f>IF(CT$41="","",MINDS!CT$63)</f>
        <v/>
      </c>
      <c r="CU57" s="2" t="str">
        <f>IF(CU$41="","",MINDS!CU$63)</f>
        <v/>
      </c>
      <c r="CV57" s="2" t="str">
        <f>IF(CV$41="","",MINDS!CV$63)</f>
        <v/>
      </c>
      <c r="CW57" s="2" t="str">
        <f>IF(CW$41="","",MINDS!CW$63)</f>
        <v/>
      </c>
      <c r="CX57" s="2" t="str">
        <f>IF(CX$41="","",MINDS!CX$63)</f>
        <v/>
      </c>
      <c r="CY57" s="2" t="str">
        <f>IF(CY$41="","",MINDS!CY$63)</f>
        <v/>
      </c>
      <c r="CZ57" s="2" t="str">
        <f>IF(CZ$41="","",MINDS!CZ$63)</f>
        <v/>
      </c>
      <c r="DA57" s="2" t="str">
        <f>IF(DA$41="","",MINDS!DA$63)</f>
        <v/>
      </c>
      <c r="DB57" s="2" t="str">
        <f>IF(DB$41="","",MINDS!DB$63)</f>
        <v/>
      </c>
      <c r="DC57" s="2" t="str">
        <f>IF(DC$41="","",MINDS!DC$63)</f>
        <v/>
      </c>
      <c r="DD57" s="2" t="str">
        <f>IF(DD$41="","",MINDS!DD$63)</f>
        <v/>
      </c>
      <c r="DE57" s="2" t="str">
        <f>IF(DE$41="","",MINDS!DE$63)</f>
        <v/>
      </c>
      <c r="DF57" s="2" t="str">
        <f>IF(DF$41="","",MINDS!DF$63)</f>
        <v/>
      </c>
      <c r="DG57" s="2" t="str">
        <f>IF(DG$41="","",MINDS!DG$63)</f>
        <v/>
      </c>
      <c r="DH57" s="2" t="str">
        <f>IF(DH$41="","",MINDS!DH$63)</f>
        <v/>
      </c>
      <c r="DI57" s="2" t="str">
        <f>IF(DI$41="","",MINDS!DI$63)</f>
        <v/>
      </c>
      <c r="DJ57" s="2" t="str">
        <f>IF(DJ$41="","",MINDS!DJ$63)</f>
        <v/>
      </c>
      <c r="DK57" s="2" t="str">
        <f>IF(DK$41="","",MINDS!DK$63)</f>
        <v/>
      </c>
      <c r="DL57" s="2" t="str">
        <f>IF(DL$41="","",MINDS!DL$63)</f>
        <v/>
      </c>
      <c r="DM57" s="2" t="str">
        <f>IF(DM$41="","",MINDS!DM$63)</f>
        <v/>
      </c>
      <c r="DN57" s="2" t="str">
        <f>IF(DN$41="","",MINDS!DN$63)</f>
        <v/>
      </c>
      <c r="DO57" s="2" t="str">
        <f>IF(DO$41="","",MINDS!DO$63)</f>
        <v/>
      </c>
      <c r="DP57" s="2" t="str">
        <f>IF(DP$41="","",MINDS!DP$63)</f>
        <v/>
      </c>
      <c r="DQ57" s="2" t="str">
        <f>IF(DQ$41="","",MINDS!DQ$63)</f>
        <v/>
      </c>
      <c r="DR57" s="2" t="str">
        <f>IF(DR$41="","",MINDS!DR$63)</f>
        <v/>
      </c>
      <c r="DS57" s="2" t="str">
        <f>IF(DS$41="","",MINDS!DS$63)</f>
        <v/>
      </c>
      <c r="DT57" s="2" t="str">
        <f>IF(DT$41="","",MINDS!DT$63)</f>
        <v/>
      </c>
      <c r="DU57" s="2" t="str">
        <f>IF(DU$41="","",MINDS!DU$63)</f>
        <v/>
      </c>
      <c r="DV57" s="2" t="str">
        <f>IF(DV$41="","",MINDS!DV$63)</f>
        <v/>
      </c>
      <c r="DW57" s="2" t="str">
        <f>IF(DW$41="","",MINDS!DW$63)</f>
        <v/>
      </c>
      <c r="DX57" s="2" t="str">
        <f>IF(DX$41="","",MINDS!DX$63)</f>
        <v/>
      </c>
      <c r="DY57" s="2" t="str">
        <f>IF(DY$41="","",MINDS!DY$63)</f>
        <v/>
      </c>
      <c r="DZ57" s="2" t="str">
        <f>IF(DZ$41="","",MINDS!DZ$63)</f>
        <v/>
      </c>
      <c r="EA57" s="2" t="str">
        <f>IF(EA$41="","",MINDS!EA$63)</f>
        <v/>
      </c>
      <c r="EB57" s="2" t="str">
        <f>IF(EB$41="","",MINDS!EB$63)</f>
        <v/>
      </c>
      <c r="EC57" s="2" t="str">
        <f>IF(EC$41="","",MINDS!EC$63)</f>
        <v/>
      </c>
      <c r="ED57" s="2" t="str">
        <f>IF(ED$41="","",MINDS!ED$63)</f>
        <v/>
      </c>
      <c r="EE57" s="2" t="str">
        <f>IF(EE$41="","",MINDS!EE$63)</f>
        <v/>
      </c>
      <c r="EF57" s="2" t="str">
        <f>IF(EF$41="","",MINDS!EF$63)</f>
        <v/>
      </c>
      <c r="EG57" s="2" t="str">
        <f>IF(EG$41="","",MINDS!EG$63)</f>
        <v/>
      </c>
      <c r="EH57" s="2" t="str">
        <f>IF(EH$41="","",MINDS!EH$63)</f>
        <v/>
      </c>
      <c r="EI57" s="2" t="str">
        <f>IF(EI$41="","",MINDS!EI$63)</f>
        <v/>
      </c>
      <c r="EJ57" s="2" t="str">
        <f>IF(EJ$41="","",MINDS!EJ$63)</f>
        <v/>
      </c>
      <c r="EK57" s="2" t="str">
        <f>IF(EK$41="","",MINDS!EK$63)</f>
        <v/>
      </c>
      <c r="EL57" s="2" t="str">
        <f>IF(EL$41="","",MINDS!EL$63)</f>
        <v/>
      </c>
      <c r="EM57" s="2" t="str">
        <f>IF(EM$41="","",MINDS!EM$63)</f>
        <v/>
      </c>
      <c r="EN57" s="2" t="str">
        <f>IF(EN$41="","",MINDS!EN$63)</f>
        <v/>
      </c>
      <c r="EO57" s="2" t="str">
        <f>IF(EO$41="","",MINDS!EO$63)</f>
        <v/>
      </c>
      <c r="EP57" s="2" t="str">
        <f>IF(EP$41="","",MINDS!EP$63)</f>
        <v/>
      </c>
      <c r="EQ57" s="2" t="str">
        <f>IF(EQ$41="","",MINDS!EQ$63)</f>
        <v/>
      </c>
      <c r="ER57" s="2" t="str">
        <f>IF(ER$41="","",MINDS!ER$63)</f>
        <v/>
      </c>
      <c r="ES57" s="2" t="str">
        <f>IF(ES$41="","",MINDS!ES$63)</f>
        <v/>
      </c>
      <c r="ET57" s="2" t="str">
        <f>IF(ET$41="","",MINDS!ET$63)</f>
        <v/>
      </c>
      <c r="EU57" s="2" t="str">
        <f>IF(EU$41="","",MINDS!EU$63)</f>
        <v/>
      </c>
      <c r="EV57" s="2" t="str">
        <f>IF(EV$41="","",MINDS!EV$63)</f>
        <v/>
      </c>
      <c r="EW57" s="2" t="str">
        <f>IF(EW$41="","",MINDS!EW$63)</f>
        <v/>
      </c>
      <c r="EX57" s="2" t="str">
        <f>IF(EX$41="","",MINDS!EX$63)</f>
        <v/>
      </c>
      <c r="EY57" s="2" t="str">
        <f>IF(EY$41="","",MINDS!EY$63)</f>
        <v/>
      </c>
      <c r="EZ57" s="2" t="str">
        <f>IF(EZ$41="","",MINDS!EZ$63)</f>
        <v/>
      </c>
      <c r="FA57" s="2" t="str">
        <f>IF(FA$41="","",MINDS!FA$63)</f>
        <v/>
      </c>
      <c r="FB57" s="2" t="str">
        <f>IF(FB$41="","",MINDS!FB$63)</f>
        <v/>
      </c>
      <c r="FC57" s="2" t="str">
        <f>IF(FC$41="","",MINDS!FC$63)</f>
        <v/>
      </c>
      <c r="FD57" s="2" t="str">
        <f>IF(FD$41="","",MINDS!FD$63)</f>
        <v/>
      </c>
      <c r="FE57" s="2" t="str">
        <f>IF(FE$41="","",MINDS!FE$63)</f>
        <v/>
      </c>
      <c r="FF57" s="2" t="str">
        <f>IF(FF$41="","",MINDS!FF$63)</f>
        <v/>
      </c>
      <c r="FG57" s="2" t="str">
        <f>IF(FG$41="","",MINDS!FG$63)</f>
        <v/>
      </c>
      <c r="FH57" s="2" t="str">
        <f>IF(FH$41="","",MINDS!FH$63)</f>
        <v/>
      </c>
      <c r="FI57" s="2" t="str">
        <f>IF(FI$41="","",MINDS!FI$63)</f>
        <v/>
      </c>
      <c r="FJ57" s="2" t="str">
        <f>IF(FJ$41="","",MINDS!FJ$63)</f>
        <v/>
      </c>
      <c r="FK57" s="2" t="str">
        <f>IF(FK$41="","",MINDS!FK$63)</f>
        <v/>
      </c>
      <c r="FL57" s="2" t="str">
        <f>IF(FL$41="","",MINDS!FL$63)</f>
        <v/>
      </c>
      <c r="FM57" s="2" t="str">
        <f>IF(FM$41="","",MINDS!FM$63)</f>
        <v/>
      </c>
      <c r="FN57" s="2" t="str">
        <f>IF(FN$41="","",MINDS!FN$63)</f>
        <v/>
      </c>
      <c r="FO57" s="2" t="str">
        <f>IF(FO$41="","",MINDS!FO$63)</f>
        <v/>
      </c>
      <c r="FP57" s="2" t="str">
        <f>IF(FP$41="","",MINDS!FP$63)</f>
        <v/>
      </c>
      <c r="FQ57" s="2" t="str">
        <f>IF(FQ$41="","",MINDS!FQ$63)</f>
        <v/>
      </c>
      <c r="FR57" s="2" t="str">
        <f>IF(FR$41="","",MINDS!FR$63)</f>
        <v/>
      </c>
      <c r="FS57" s="2" t="str">
        <f>IF(FS$41="","",MINDS!FS$63)</f>
        <v/>
      </c>
      <c r="FT57" s="2" t="str">
        <f>IF(FT$41="","",MINDS!FT$63)</f>
        <v/>
      </c>
      <c r="FU57" s="2" t="str">
        <f>IF(FU$41="","",MINDS!FU$63)</f>
        <v/>
      </c>
      <c r="FV57" s="2" t="str">
        <f>IF(FV$41="","",MINDS!FV$63)</f>
        <v/>
      </c>
      <c r="FW57" s="2" t="str">
        <f>IF(FW$41="","",MINDS!FW$63)</f>
        <v/>
      </c>
      <c r="FX57" s="2" t="str">
        <f>IF(FX$41="","",MINDS!FX$63)</f>
        <v/>
      </c>
      <c r="FY57" s="2" t="str">
        <f>IF(FY$41="","",MINDS!FY$63)</f>
        <v/>
      </c>
      <c r="FZ57" s="2" t="str">
        <f>IF(FZ$41="","",MINDS!FZ$63)</f>
        <v/>
      </c>
      <c r="GA57" s="2" t="str">
        <f>IF(GA$41="","",MINDS!GA$63)</f>
        <v/>
      </c>
      <c r="GB57" s="2" t="str">
        <f>IF(GB$41="","",MINDS!GB$63)</f>
        <v/>
      </c>
      <c r="GC57" s="2" t="str">
        <f>IF(GC$41="","",MINDS!GC$63)</f>
        <v/>
      </c>
      <c r="GD57" s="2" t="str">
        <f>IF(GD$41="","",MINDS!GD$63)</f>
        <v/>
      </c>
      <c r="GE57" s="2" t="str">
        <f>IF(GE$41="","",MINDS!GE$63)</f>
        <v/>
      </c>
      <c r="GF57" s="2" t="str">
        <f>IF(GF$41="","",MINDS!GF$63)</f>
        <v/>
      </c>
      <c r="GG57" s="2" t="str">
        <f>IF(GG$41="","",MINDS!GG$63)</f>
        <v/>
      </c>
      <c r="GH57" s="2" t="str">
        <f>IF(GH$41="","",MINDS!GH$63)</f>
        <v/>
      </c>
      <c r="GI57" s="2" t="str">
        <f>IF(GI$41="","",MINDS!GI$63)</f>
        <v/>
      </c>
      <c r="GJ57" s="2" t="str">
        <f>IF(GJ$41="","",MINDS!GJ$63)</f>
        <v/>
      </c>
      <c r="GK57" s="2" t="str">
        <f>IF(GK$41="","",MINDS!GK$63)</f>
        <v/>
      </c>
      <c r="GL57" s="2" t="str">
        <f>IF(GL$41="","",MINDS!GL$63)</f>
        <v/>
      </c>
      <c r="GM57" s="2" t="str">
        <f>IF(GM$41="","",MINDS!GM$63)</f>
        <v/>
      </c>
      <c r="GN57" s="2" t="str">
        <f>IF(GN$41="","",MINDS!GN$63)</f>
        <v/>
      </c>
      <c r="GO57" s="2" t="str">
        <f>IF(GO$41="","",MINDS!GO$63)</f>
        <v/>
      </c>
      <c r="GP57" s="2" t="str">
        <f>IF(GP$41="","",MINDS!GP$63)</f>
        <v/>
      </c>
      <c r="GQ57" s="2" t="str">
        <f>IF(GQ$41="","",MINDS!GQ$63)</f>
        <v/>
      </c>
      <c r="GR57" s="2" t="str">
        <f>IF(GR$41="","",MINDS!GR$63)</f>
        <v/>
      </c>
      <c r="GS57" s="2" t="str">
        <f>IF(GS$41="","",MINDS!GS$63)</f>
        <v/>
      </c>
      <c r="GT57" s="2" t="str">
        <f>IF(GT$41="","",MINDS!GT$63)</f>
        <v/>
      </c>
      <c r="GU57" s="2" t="str">
        <f>IF(GU$41="","",MINDS!GU$63)</f>
        <v/>
      </c>
      <c r="GV57" s="2" t="str">
        <f>IF(GV$41="","",MINDS!GV$63)</f>
        <v/>
      </c>
      <c r="GW57" s="2" t="str">
        <f>IF(GW$41="","",MINDS!GW$63)</f>
        <v/>
      </c>
      <c r="GX57" s="2" t="str">
        <f>IF(GX$41="","",MINDS!GX$63)</f>
        <v/>
      </c>
      <c r="GY57" s="2" t="str">
        <f>IF(GY$41="","",MINDS!GY$63)</f>
        <v/>
      </c>
      <c r="GZ57" s="2" t="str">
        <f>IF(GZ$41="","",MINDS!GZ$63)</f>
        <v/>
      </c>
      <c r="HA57" s="2" t="str">
        <f>IF(HA$41="","",MINDS!HA$63)</f>
        <v/>
      </c>
      <c r="HB57" s="2" t="str">
        <f>IF(HB$41="","",MINDS!HB$63)</f>
        <v/>
      </c>
      <c r="HC57" s="2" t="str">
        <f>IF(HC$41="","",MINDS!HC$63)</f>
        <v/>
      </c>
      <c r="HD57" s="2" t="str">
        <f>IF(HD$41="","",MINDS!HD$63)</f>
        <v/>
      </c>
      <c r="HE57" s="2" t="str">
        <f>IF(HE$41="","",MINDS!HE$63)</f>
        <v/>
      </c>
      <c r="HF57" s="2" t="str">
        <f>IF(HF$41="","",MINDS!HF$63)</f>
        <v/>
      </c>
      <c r="HG57" s="2" t="str">
        <f>IF(HG$41="","",MINDS!HG$63)</f>
        <v/>
      </c>
      <c r="HH57" s="2" t="str">
        <f>IF(HH$41="","",MINDS!HH$63)</f>
        <v/>
      </c>
      <c r="HI57" s="2" t="str">
        <f>IF(HI$41="","",MINDS!HI$63)</f>
        <v/>
      </c>
      <c r="HJ57" s="2" t="str">
        <f>IF(HJ$41="","",MINDS!HJ$63)</f>
        <v/>
      </c>
      <c r="HK57" s="2" t="str">
        <f>IF(HK$41="","",MINDS!HK$63)</f>
        <v/>
      </c>
      <c r="HL57" s="2" t="str">
        <f>IF(HL$41="","",MINDS!HL$63)</f>
        <v/>
      </c>
      <c r="HM57" s="2" t="str">
        <f>IF(HM$41="","",MINDS!HM$63)</f>
        <v/>
      </c>
      <c r="HN57" s="2" t="str">
        <f>IF(HN$41="","",MINDS!HN$63)</f>
        <v/>
      </c>
      <c r="HO57" s="2" t="str">
        <f>IF(HO$41="","",MINDS!HO$63)</f>
        <v/>
      </c>
      <c r="HP57" s="2" t="str">
        <f>IF(HP$41="","",MINDS!HP$63)</f>
        <v/>
      </c>
      <c r="HQ57" s="2" t="str">
        <f>IF(HQ$41="","",MINDS!HQ$63)</f>
        <v/>
      </c>
      <c r="HR57" s="2" t="str">
        <f>IF(HR$41="","",MINDS!HR$63)</f>
        <v/>
      </c>
      <c r="HS57" s="2" t="str">
        <f>IF(HS$41="","",MINDS!HS$63)</f>
        <v/>
      </c>
      <c r="HT57" s="2" t="str">
        <f>IF(HT$41="","",MINDS!HT$63)</f>
        <v/>
      </c>
      <c r="HU57" s="2" t="str">
        <f>IF(HU$41="","",MINDS!HU$63)</f>
        <v/>
      </c>
      <c r="HV57" s="2" t="str">
        <f>IF(HV$41="","",MINDS!HV$63)</f>
        <v/>
      </c>
      <c r="HW57" s="2" t="str">
        <f>IF(HW$41="","",MINDS!HW$63)</f>
        <v/>
      </c>
      <c r="HX57" s="2" t="str">
        <f>IF(HX$41="","",MINDS!HX$63)</f>
        <v/>
      </c>
      <c r="HY57" s="2" t="str">
        <f>IF(HY$41="","",MINDS!HY$63)</f>
        <v/>
      </c>
      <c r="HZ57" s="2" t="str">
        <f>IF(HZ$41="","",MINDS!HZ$63)</f>
        <v/>
      </c>
      <c r="IA57" s="2" t="str">
        <f>IF(IA$41="","",MINDS!IA$63)</f>
        <v/>
      </c>
      <c r="IB57" s="2" t="str">
        <f>IF(IB$41="","",MINDS!IB$63)</f>
        <v/>
      </c>
      <c r="IC57" s="2" t="str">
        <f>IF(IC$41="","",MINDS!IC$63)</f>
        <v/>
      </c>
      <c r="ID57" s="2" t="str">
        <f>IF(ID$41="","",MINDS!ID$63)</f>
        <v/>
      </c>
      <c r="IE57" s="2" t="str">
        <f>IF(IE$41="","",MINDS!IE$63)</f>
        <v/>
      </c>
      <c r="IF57" s="2" t="str">
        <f>IF(IF$41="","",MINDS!IF$63)</f>
        <v/>
      </c>
      <c r="IG57" s="2" t="str">
        <f>IF(IG$41="","",MINDS!IG$63)</f>
        <v/>
      </c>
      <c r="IH57" s="2" t="str">
        <f>IF(IH$41="","",MINDS!IH$63)</f>
        <v/>
      </c>
      <c r="II57" s="2" t="str">
        <f>IF(II$41="","",MINDS!II$63)</f>
        <v/>
      </c>
      <c r="IJ57" s="2" t="str">
        <f>IF(IJ$41="","",MINDS!IJ$63)</f>
        <v/>
      </c>
      <c r="IK57" s="2" t="str">
        <f>IF(IK$41="","",MINDS!IK$63)</f>
        <v/>
      </c>
      <c r="IL57" s="2" t="str">
        <f>IF(IL$41="","",MINDS!IL$63)</f>
        <v/>
      </c>
      <c r="IM57" s="2" t="str">
        <f>IF(IM$41="","",MINDS!IM$63)</f>
        <v/>
      </c>
      <c r="IN57" s="2" t="str">
        <f>IF(IN$41="","",MINDS!IN$63)</f>
        <v/>
      </c>
      <c r="IO57" s="2" t="str">
        <f>IF(IO$41="","",MINDS!IO$63)</f>
        <v/>
      </c>
      <c r="IP57" s="2" t="str">
        <f>IF(IP$41="","",MINDS!IP$63)</f>
        <v/>
      </c>
      <c r="IQ57" s="2" t="str">
        <f>IF(IQ$41="","",MINDS!IQ$63)</f>
        <v/>
      </c>
      <c r="IR57" s="2" t="str">
        <f>IF(IR$41="","",MINDS!IR$63)</f>
        <v/>
      </c>
      <c r="IS57" s="2" t="str">
        <f>IF(IS$41="","",MINDS!IS$63)</f>
        <v/>
      </c>
      <c r="IT57" s="2" t="str">
        <f>IF(IT$41="","",MINDS!IT$63)</f>
        <v/>
      </c>
      <c r="IU57" s="2" t="str">
        <f>IF(IU$41="","",MINDS!IU$63)</f>
        <v/>
      </c>
      <c r="IV57" s="2" t="str">
        <f>IF(IV$41="","",MINDS!IV$63)</f>
        <v/>
      </c>
    </row>
    <row r="58" spans="1:256" x14ac:dyDescent="0.2">
      <c r="A58" s="3" t="s">
        <v>22</v>
      </c>
      <c r="C58" s="2" t="str">
        <f ca="1">IF(C$41="","",TEXTJOINARRAY("|",TRUE,FINDLINKS(DatasetLinks,MATCH("Dataset "&amp;MINDS!C$55,OFFSET(DatasetLinks,0,0,1),0), "File ", FileLookup, 2)))</f>
        <v/>
      </c>
      <c r="D58" s="2" t="str">
        <f ca="1">IF(D$41="","",TEXTJOINARRAY("|",TRUE,FINDLINKS(DatasetLinks,MATCH("Dataset "&amp;MINDS!D$55,OFFSET(DatasetLinks,0,0,1),0), "File ", FileLookup, 2)))</f>
        <v/>
      </c>
      <c r="E58" s="2" t="str">
        <f ca="1">IF(E$41="","",TEXTJOINARRAY("|",TRUE,FINDLINKS(DatasetLinks,MATCH("Dataset "&amp;MINDS!E$55,OFFSET(DatasetLinks,0,0,1),0), "File ", FileLookup, 2)))</f>
        <v/>
      </c>
      <c r="F58" s="2" t="str">
        <f ca="1">IF(F$41="","",TEXTJOINARRAY("|",TRUE,FINDLINKS(DatasetLinks,MATCH("Dataset "&amp;MINDS!F$55,OFFSET(DatasetLinks,0,0,1),0), "File ", FileLookup, 2)))</f>
        <v/>
      </c>
      <c r="G58" s="2" t="str">
        <f ca="1">IF(G$41="","",TEXTJOINARRAY("|",TRUE,FINDLINKS(DatasetLinks,MATCH("Dataset "&amp;MINDS!G$55,OFFSET(DatasetLinks,0,0,1),0), "File ", FileLookup, 2)))</f>
        <v/>
      </c>
      <c r="H58" s="2" t="str">
        <f ca="1">IF(H$41="","",TEXTJOINARRAY("|",TRUE,FINDLINKS(DatasetLinks,MATCH("Dataset "&amp;MINDS!H$55,OFFSET(DatasetLinks,0,0,1),0), "File ", FileLookup, 2)))</f>
        <v/>
      </c>
      <c r="I58" s="2" t="str">
        <f ca="1">IF(I$41="","",TEXTJOINARRAY("|",TRUE,FINDLINKS(DatasetLinks,MATCH("Dataset "&amp;MINDS!I$55,OFFSET(DatasetLinks,0,0,1),0), "File ", FileLookup, 2)))</f>
        <v/>
      </c>
      <c r="J58" s="2" t="str">
        <f ca="1">IF(J$41="","",TEXTJOINARRAY("|",TRUE,FINDLINKS(DatasetLinks,MATCH("Dataset "&amp;MINDS!J$55,OFFSET(DatasetLinks,0,0,1),0), "File ", FileLookup, 2)))</f>
        <v/>
      </c>
      <c r="K58" s="2" t="str">
        <f ca="1">IF(K$41="","",TEXTJOINARRAY("|",TRUE,FINDLINKS(DatasetLinks,MATCH("Dataset "&amp;MINDS!K$55,OFFSET(DatasetLinks,0,0,1),0), "File ", FileLookup, 2)))</f>
        <v/>
      </c>
      <c r="L58" s="2" t="str">
        <f ca="1">IF(L$41="","",TEXTJOINARRAY("|",TRUE,FINDLINKS(DatasetLinks,MATCH("Dataset "&amp;MINDS!L$55,OFFSET(DatasetLinks,0,0,1),0), "File ", FileLookup, 2)))</f>
        <v/>
      </c>
      <c r="M58" s="2" t="str">
        <f ca="1">IF(M$41="","",TEXTJOINARRAY("|",TRUE,FINDLINKS(DatasetLinks,MATCH("Dataset "&amp;MINDS!M$55,OFFSET(DatasetLinks,0,0,1),0), "File ", FileLookup, 2)))</f>
        <v/>
      </c>
      <c r="N58" s="2" t="str">
        <f ca="1">IF(N$41="","",TEXTJOINARRAY("|",TRUE,FINDLINKS(DatasetLinks,MATCH("Dataset "&amp;MINDS!N$55,OFFSET(DatasetLinks,0,0,1),0), "File ", FileLookup, 2)))</f>
        <v/>
      </c>
      <c r="O58" s="2" t="str">
        <f ca="1">IF(O$41="","",TEXTJOINARRAY("|",TRUE,FINDLINKS(DatasetLinks,MATCH("Dataset "&amp;MINDS!O$55,OFFSET(DatasetLinks,0,0,1),0), "File ", FileLookup, 2)))</f>
        <v/>
      </c>
      <c r="P58" s="2" t="str">
        <f ca="1">IF(P$41="","",TEXTJOINARRAY("|",TRUE,FINDLINKS(DatasetLinks,MATCH("Dataset "&amp;MINDS!P$55,OFFSET(DatasetLinks,0,0,1),0), "File ", FileLookup, 2)))</f>
        <v/>
      </c>
      <c r="Q58" s="2" t="str">
        <f ca="1">IF(Q$41="","",TEXTJOINARRAY("|",TRUE,FINDLINKS(DatasetLinks,MATCH("Dataset "&amp;MINDS!Q$55,OFFSET(DatasetLinks,0,0,1),0), "File ", FileLookup, 2)))</f>
        <v/>
      </c>
      <c r="R58" s="2" t="str">
        <f ca="1">IF(R$41="","",TEXTJOINARRAY("|",TRUE,FINDLINKS(DatasetLinks,MATCH("Dataset "&amp;MINDS!R$55,OFFSET(DatasetLinks,0,0,1),0), "File ", FileLookup, 2)))</f>
        <v/>
      </c>
      <c r="S58" s="2" t="str">
        <f ca="1">IF(S$41="","",TEXTJOINARRAY("|",TRUE,FINDLINKS(DatasetLinks,MATCH("Dataset "&amp;MINDS!S$55,OFFSET(DatasetLinks,0,0,1),0), "File ", FileLookup, 2)))</f>
        <v/>
      </c>
      <c r="T58" s="2" t="str">
        <f ca="1">IF(T$41="","",TEXTJOINARRAY("|",TRUE,FINDLINKS(DatasetLinks,MATCH("Dataset "&amp;MINDS!T$55,OFFSET(DatasetLinks,0,0,1),0), "File ", FileLookup, 2)))</f>
        <v/>
      </c>
      <c r="U58" s="2" t="str">
        <f ca="1">IF(U$41="","",TEXTJOINARRAY("|",TRUE,FINDLINKS(DatasetLinks,MATCH("Dataset "&amp;MINDS!U$55,OFFSET(DatasetLinks,0,0,1),0), "File ", FileLookup, 2)))</f>
        <v/>
      </c>
      <c r="V58" s="2" t="str">
        <f ca="1">IF(V$41="","",TEXTJOINARRAY("|",TRUE,FINDLINKS(DatasetLinks,MATCH("Dataset "&amp;MINDS!V$55,OFFSET(DatasetLinks,0,0,1),0), "File ", FileLookup, 2)))</f>
        <v/>
      </c>
      <c r="W58" s="2" t="str">
        <f ca="1">IF(W$41="","",TEXTJOINARRAY("|",TRUE,FINDLINKS(DatasetLinks,MATCH("Dataset "&amp;MINDS!W$55,OFFSET(DatasetLinks,0,0,1),0), "File ", FileLookup, 2)))</f>
        <v/>
      </c>
      <c r="X58" s="2" t="str">
        <f ca="1">IF(X$41="","",TEXTJOINARRAY("|",TRUE,FINDLINKS(DatasetLinks,MATCH("Dataset "&amp;MINDS!X$55,OFFSET(DatasetLinks,0,0,1),0), "File ", FileLookup, 2)))</f>
        <v/>
      </c>
      <c r="Y58" s="2" t="str">
        <f ca="1">IF(Y$41="","",TEXTJOINARRAY("|",TRUE,FINDLINKS(DatasetLinks,MATCH("Dataset "&amp;MINDS!Y$55,OFFSET(DatasetLinks,0,0,1),0), "File ", FileLookup, 2)))</f>
        <v/>
      </c>
      <c r="Z58" s="2" t="str">
        <f ca="1">IF(Z$41="","",TEXTJOINARRAY("|",TRUE,FINDLINKS(DatasetLinks,MATCH("Dataset "&amp;MINDS!Z$55,OFFSET(DatasetLinks,0,0,1),0), "File ", FileLookup, 2)))</f>
        <v/>
      </c>
      <c r="AA58" s="2" t="str">
        <f ca="1">IF(AA$41="","",TEXTJOINARRAY("|",TRUE,FINDLINKS(DatasetLinks,MATCH("Dataset "&amp;MINDS!AA$55,OFFSET(DatasetLinks,0,0,1),0), "File ", FileLookup, 2)))</f>
        <v/>
      </c>
      <c r="AB58" s="2" t="str">
        <f ca="1">IF(AB$41="","",TEXTJOINARRAY("|",TRUE,FINDLINKS(DatasetLinks,MATCH("Dataset "&amp;MINDS!AB$55,OFFSET(DatasetLinks,0,0,1),0), "File ", FileLookup, 2)))</f>
        <v/>
      </c>
      <c r="AC58" s="2" t="str">
        <f ca="1">IF(AC$41="","",TEXTJOINARRAY("|",TRUE,FINDLINKS(DatasetLinks,MATCH("Dataset "&amp;MINDS!AC$55,OFFSET(DatasetLinks,0,0,1),0), "File ", FileLookup, 2)))</f>
        <v/>
      </c>
      <c r="AD58" s="2" t="str">
        <f ca="1">IF(AD$41="","",TEXTJOINARRAY("|",TRUE,FINDLINKS(DatasetLinks,MATCH("Dataset "&amp;MINDS!AD$55,OFFSET(DatasetLinks,0,0,1),0), "File ", FileLookup, 2)))</f>
        <v/>
      </c>
      <c r="AE58" s="2" t="str">
        <f ca="1">IF(AE$41="","",TEXTJOINARRAY("|",TRUE,FINDLINKS(DatasetLinks,MATCH("Dataset "&amp;MINDS!AE$55,OFFSET(DatasetLinks,0,0,1),0), "File ", FileLookup, 2)))</f>
        <v/>
      </c>
      <c r="AF58" s="2" t="str">
        <f ca="1">IF(AF$41="","",TEXTJOINARRAY("|",TRUE,FINDLINKS(DatasetLinks,MATCH("Dataset "&amp;MINDS!AF$55,OFFSET(DatasetLinks,0,0,1),0), "File ", FileLookup, 2)))</f>
        <v/>
      </c>
      <c r="AG58" s="2" t="str">
        <f ca="1">IF(AG$41="","",TEXTJOINARRAY("|",TRUE,FINDLINKS(DatasetLinks,MATCH("Dataset "&amp;MINDS!AG$55,OFFSET(DatasetLinks,0,0,1),0), "File ", FileLookup, 2)))</f>
        <v/>
      </c>
      <c r="AH58" s="2" t="str">
        <f ca="1">IF(AH$41="","",TEXTJOINARRAY("|",TRUE,FINDLINKS(DatasetLinks,MATCH("Dataset "&amp;MINDS!AH$55,OFFSET(DatasetLinks,0,0,1),0), "File ", FileLookup, 2)))</f>
        <v/>
      </c>
      <c r="AI58" s="2" t="str">
        <f ca="1">IF(AI$41="","",TEXTJOINARRAY("|",TRUE,FINDLINKS(DatasetLinks,MATCH("Dataset "&amp;MINDS!AI$55,OFFSET(DatasetLinks,0,0,1),0), "File ", FileLookup, 2)))</f>
        <v/>
      </c>
      <c r="AJ58" s="2" t="str">
        <f ca="1">IF(AJ$41="","",TEXTJOINARRAY("|",TRUE,FINDLINKS(DatasetLinks,MATCH("Dataset "&amp;MINDS!AJ$55,OFFSET(DatasetLinks,0,0,1),0), "File ", FileLookup, 2)))</f>
        <v/>
      </c>
      <c r="AK58" s="2" t="str">
        <f ca="1">IF(AK$41="","",TEXTJOINARRAY("|",TRUE,FINDLINKS(DatasetLinks,MATCH("Dataset "&amp;MINDS!AK$55,OFFSET(DatasetLinks,0,0,1),0), "File ", FileLookup, 2)))</f>
        <v/>
      </c>
      <c r="AL58" s="2" t="str">
        <f ca="1">IF(AL$41="","",TEXTJOINARRAY("|",TRUE,FINDLINKS(DatasetLinks,MATCH("Dataset "&amp;MINDS!AL$55,OFFSET(DatasetLinks,0,0,1),0), "File ", FileLookup, 2)))</f>
        <v/>
      </c>
      <c r="AM58" s="2" t="str">
        <f ca="1">IF(AM$41="","",TEXTJOINARRAY("|",TRUE,FINDLINKS(DatasetLinks,MATCH("Dataset "&amp;MINDS!AM$55,OFFSET(DatasetLinks,0,0,1),0), "File ", FileLookup, 2)))</f>
        <v/>
      </c>
      <c r="AN58" s="2" t="str">
        <f ca="1">IF(AN$41="","",TEXTJOINARRAY("|",TRUE,FINDLINKS(DatasetLinks,MATCH("Dataset "&amp;MINDS!AN$55,OFFSET(DatasetLinks,0,0,1),0), "File ", FileLookup, 2)))</f>
        <v/>
      </c>
      <c r="AO58" s="2" t="str">
        <f ca="1">IF(AO$41="","",TEXTJOINARRAY("|",TRUE,FINDLINKS(DatasetLinks,MATCH("Dataset "&amp;MINDS!AO$55,OFFSET(DatasetLinks,0,0,1),0), "File ", FileLookup, 2)))</f>
        <v/>
      </c>
      <c r="AP58" s="2" t="str">
        <f ca="1">IF(AP$41="","",TEXTJOINARRAY("|",TRUE,FINDLINKS(DatasetLinks,MATCH("Dataset "&amp;MINDS!AP$55,OFFSET(DatasetLinks,0,0,1),0), "File ", FileLookup, 2)))</f>
        <v/>
      </c>
      <c r="AQ58" s="2" t="str">
        <f ca="1">IF(AQ$41="","",TEXTJOINARRAY("|",TRUE,FINDLINKS(DatasetLinks,MATCH("Dataset "&amp;MINDS!AQ$55,OFFSET(DatasetLinks,0,0,1),0), "File ", FileLookup, 2)))</f>
        <v/>
      </c>
      <c r="AR58" s="2" t="str">
        <f ca="1">IF(AR$41="","",TEXTJOINARRAY("|",TRUE,FINDLINKS(DatasetLinks,MATCH("Dataset "&amp;MINDS!AR$55,OFFSET(DatasetLinks,0,0,1),0), "File ", FileLookup, 2)))</f>
        <v/>
      </c>
      <c r="AS58" s="2" t="str">
        <f ca="1">IF(AS$41="","",TEXTJOINARRAY("|",TRUE,FINDLINKS(DatasetLinks,MATCH("Dataset "&amp;MINDS!AS$55,OFFSET(DatasetLinks,0,0,1),0), "File ", FileLookup, 2)))</f>
        <v/>
      </c>
      <c r="AT58" s="2" t="str">
        <f ca="1">IF(AT$41="","",TEXTJOINARRAY("|",TRUE,FINDLINKS(DatasetLinks,MATCH("Dataset "&amp;MINDS!AT$55,OFFSET(DatasetLinks,0,0,1),0), "File ", FileLookup, 2)))</f>
        <v/>
      </c>
      <c r="AU58" s="2" t="str">
        <f ca="1">IF(AU$41="","",TEXTJOINARRAY("|",TRUE,FINDLINKS(DatasetLinks,MATCH("Dataset "&amp;MINDS!AU$55,OFFSET(DatasetLinks,0,0,1),0), "File ", FileLookup, 2)))</f>
        <v/>
      </c>
      <c r="AV58" s="2" t="str">
        <f ca="1">IF(AV$41="","",TEXTJOINARRAY("|",TRUE,FINDLINKS(DatasetLinks,MATCH("Dataset "&amp;MINDS!AV$55,OFFSET(DatasetLinks,0,0,1),0), "File ", FileLookup, 2)))</f>
        <v/>
      </c>
      <c r="AW58" s="2" t="str">
        <f ca="1">IF(AW$41="","",TEXTJOINARRAY("|",TRUE,FINDLINKS(DatasetLinks,MATCH("Dataset "&amp;MINDS!AW$55,OFFSET(DatasetLinks,0,0,1),0), "File ", FileLookup, 2)))</f>
        <v/>
      </c>
      <c r="AX58" s="2" t="str">
        <f ca="1">IF(AX$41="","",TEXTJOINARRAY("|",TRUE,FINDLINKS(DatasetLinks,MATCH("Dataset "&amp;MINDS!AX$55,OFFSET(DatasetLinks,0,0,1),0), "File ", FileLookup, 2)))</f>
        <v/>
      </c>
      <c r="AY58" s="2" t="str">
        <f ca="1">IF(AY$41="","",TEXTJOINARRAY("|",TRUE,FINDLINKS(DatasetLinks,MATCH("Dataset "&amp;MINDS!AY$55,OFFSET(DatasetLinks,0,0,1),0), "File ", FileLookup, 2)))</f>
        <v/>
      </c>
      <c r="AZ58" s="2" t="str">
        <f ca="1">IF(AZ$41="","",TEXTJOINARRAY("|",TRUE,FINDLINKS(DatasetLinks,MATCH("Dataset "&amp;MINDS!AZ$55,OFFSET(DatasetLinks,0,0,1),0), "File ", FileLookup, 2)))</f>
        <v/>
      </c>
      <c r="BA58" s="2" t="str">
        <f ca="1">IF(BA$41="","",TEXTJOINARRAY("|",TRUE,FINDLINKS(DatasetLinks,MATCH("Dataset "&amp;MINDS!BA$55,OFFSET(DatasetLinks,0,0,1),0), "File ", FileLookup, 2)))</f>
        <v/>
      </c>
      <c r="BB58" s="2" t="str">
        <f ca="1">IF(BB$41="","",TEXTJOINARRAY("|",TRUE,FINDLINKS(DatasetLinks,MATCH("Dataset "&amp;MINDS!BB$55,OFFSET(DatasetLinks,0,0,1),0), "File ", FileLookup, 2)))</f>
        <v/>
      </c>
      <c r="BC58" s="2" t="str">
        <f ca="1">IF(BC$41="","",TEXTJOINARRAY("|",TRUE,FINDLINKS(DatasetLinks,MATCH("Dataset "&amp;MINDS!BC$55,OFFSET(DatasetLinks,0,0,1),0), "File ", FileLookup, 2)))</f>
        <v/>
      </c>
      <c r="BD58" s="2" t="str">
        <f ca="1">IF(BD$41="","",TEXTJOINARRAY("|",TRUE,FINDLINKS(DatasetLinks,MATCH("Dataset "&amp;MINDS!BD$55,OFFSET(DatasetLinks,0,0,1),0), "File ", FileLookup, 2)))</f>
        <v/>
      </c>
      <c r="BE58" s="2" t="str">
        <f ca="1">IF(BE$41="","",TEXTJOINARRAY("|",TRUE,FINDLINKS(DatasetLinks,MATCH("Dataset "&amp;MINDS!BE$55,OFFSET(DatasetLinks,0,0,1),0), "File ", FileLookup, 2)))</f>
        <v/>
      </c>
      <c r="BF58" s="2" t="str">
        <f ca="1">IF(BF$41="","",TEXTJOINARRAY("|",TRUE,FINDLINKS(DatasetLinks,MATCH("Dataset "&amp;MINDS!BF$55,OFFSET(DatasetLinks,0,0,1),0), "File ", FileLookup, 2)))</f>
        <v/>
      </c>
      <c r="BG58" s="2" t="str">
        <f ca="1">IF(BG$41="","",TEXTJOINARRAY("|",TRUE,FINDLINKS(DatasetLinks,MATCH("Dataset "&amp;MINDS!BG$55,OFFSET(DatasetLinks,0,0,1),0), "File ", FileLookup, 2)))</f>
        <v/>
      </c>
      <c r="BH58" s="2" t="str">
        <f ca="1">IF(BH$41="","",TEXTJOINARRAY("|",TRUE,FINDLINKS(DatasetLinks,MATCH("Dataset "&amp;MINDS!BH$55,OFFSET(DatasetLinks,0,0,1),0), "File ", FileLookup, 2)))</f>
        <v/>
      </c>
      <c r="BI58" s="2" t="str">
        <f ca="1">IF(BI$41="","",TEXTJOINARRAY("|",TRUE,FINDLINKS(DatasetLinks,MATCH("Dataset "&amp;MINDS!BI$55,OFFSET(DatasetLinks,0,0,1),0), "File ", FileLookup, 2)))</f>
        <v/>
      </c>
      <c r="BJ58" s="2" t="str">
        <f ca="1">IF(BJ$41="","",TEXTJOINARRAY("|",TRUE,FINDLINKS(DatasetLinks,MATCH("Dataset "&amp;MINDS!BJ$55,OFFSET(DatasetLinks,0,0,1),0), "File ", FileLookup, 2)))</f>
        <v/>
      </c>
      <c r="BK58" s="2" t="str">
        <f ca="1">IF(BK$41="","",TEXTJOINARRAY("|",TRUE,FINDLINKS(DatasetLinks,MATCH("Dataset "&amp;MINDS!BK$55,OFFSET(DatasetLinks,0,0,1),0), "File ", FileLookup, 2)))</f>
        <v/>
      </c>
      <c r="BL58" s="2" t="str">
        <f ca="1">IF(BL$41="","",TEXTJOINARRAY("|",TRUE,FINDLINKS(DatasetLinks,MATCH("Dataset "&amp;MINDS!BL$55,OFFSET(DatasetLinks,0,0,1),0), "File ", FileLookup, 2)))</f>
        <v/>
      </c>
      <c r="BM58" s="2" t="str">
        <f ca="1">IF(BM$41="","",TEXTJOINARRAY("|",TRUE,FINDLINKS(DatasetLinks,MATCH("Dataset "&amp;MINDS!BM$55,OFFSET(DatasetLinks,0,0,1),0), "File ", FileLookup, 2)))</f>
        <v/>
      </c>
      <c r="BN58" s="2" t="str">
        <f ca="1">IF(BN$41="","",TEXTJOINARRAY("|",TRUE,FINDLINKS(DatasetLinks,MATCH("Dataset "&amp;MINDS!BN$55,OFFSET(DatasetLinks,0,0,1),0), "File ", FileLookup, 2)))</f>
        <v/>
      </c>
      <c r="BO58" s="2" t="str">
        <f ca="1">IF(BO$41="","",TEXTJOINARRAY("|",TRUE,FINDLINKS(DatasetLinks,MATCH("Dataset "&amp;MINDS!BO$55,OFFSET(DatasetLinks,0,0,1),0), "File ", FileLookup, 2)))</f>
        <v/>
      </c>
      <c r="BP58" s="2" t="str">
        <f ca="1">IF(BP$41="","",TEXTJOINARRAY("|",TRUE,FINDLINKS(DatasetLinks,MATCH("Dataset "&amp;MINDS!BP$55,OFFSET(DatasetLinks,0,0,1),0), "File ", FileLookup, 2)))</f>
        <v/>
      </c>
      <c r="BQ58" s="2" t="str">
        <f ca="1">IF(BQ$41="","",TEXTJOINARRAY("|",TRUE,FINDLINKS(DatasetLinks,MATCH("Dataset "&amp;MINDS!BQ$55,OFFSET(DatasetLinks,0,0,1),0), "File ", FileLookup, 2)))</f>
        <v/>
      </c>
      <c r="BR58" s="2" t="str">
        <f ca="1">IF(BR$41="","",TEXTJOINARRAY("|",TRUE,FINDLINKS(DatasetLinks,MATCH("Dataset "&amp;MINDS!BR$55,OFFSET(DatasetLinks,0,0,1),0), "File ", FileLookup, 2)))</f>
        <v/>
      </c>
      <c r="BS58" s="2" t="str">
        <f ca="1">IF(BS$41="","",TEXTJOINARRAY("|",TRUE,FINDLINKS(DatasetLinks,MATCH("Dataset "&amp;MINDS!BS$55,OFFSET(DatasetLinks,0,0,1),0), "File ", FileLookup, 2)))</f>
        <v/>
      </c>
      <c r="BT58" s="2" t="str">
        <f ca="1">IF(BT$41="","",TEXTJOINARRAY("|",TRUE,FINDLINKS(DatasetLinks,MATCH("Dataset "&amp;MINDS!BT$55,OFFSET(DatasetLinks,0,0,1),0), "File ", FileLookup, 2)))</f>
        <v/>
      </c>
      <c r="BU58" s="2" t="str">
        <f ca="1">IF(BU$41="","",TEXTJOINARRAY("|",TRUE,FINDLINKS(DatasetLinks,MATCH("Dataset "&amp;MINDS!BU$55,OFFSET(DatasetLinks,0,0,1),0), "File ", FileLookup, 2)))</f>
        <v/>
      </c>
      <c r="BV58" s="2" t="str">
        <f ca="1">IF(BV$41="","",TEXTJOINARRAY("|",TRUE,FINDLINKS(DatasetLinks,MATCH("Dataset "&amp;MINDS!BV$55,OFFSET(DatasetLinks,0,0,1),0), "File ", FileLookup, 2)))</f>
        <v/>
      </c>
      <c r="BW58" s="2" t="str">
        <f ca="1">IF(BW$41="","",TEXTJOINARRAY("|",TRUE,FINDLINKS(DatasetLinks,MATCH("Dataset "&amp;MINDS!BW$55,OFFSET(DatasetLinks,0,0,1),0), "File ", FileLookup, 2)))</f>
        <v/>
      </c>
      <c r="BX58" s="2" t="str">
        <f ca="1">IF(BX$41="","",TEXTJOINARRAY("|",TRUE,FINDLINKS(DatasetLinks,MATCH("Dataset "&amp;MINDS!BX$55,OFFSET(DatasetLinks,0,0,1),0), "File ", FileLookup, 2)))</f>
        <v/>
      </c>
      <c r="BY58" s="2" t="str">
        <f ca="1">IF(BY$41="","",TEXTJOINARRAY("|",TRUE,FINDLINKS(DatasetLinks,MATCH("Dataset "&amp;MINDS!BY$55,OFFSET(DatasetLinks,0,0,1),0), "File ", FileLookup, 2)))</f>
        <v/>
      </c>
      <c r="BZ58" s="2" t="str">
        <f ca="1">IF(BZ$41="","",TEXTJOINARRAY("|",TRUE,FINDLINKS(DatasetLinks,MATCH("Dataset "&amp;MINDS!BZ$55,OFFSET(DatasetLinks,0,0,1),0), "File ", FileLookup, 2)))</f>
        <v/>
      </c>
      <c r="CA58" s="2" t="str">
        <f ca="1">IF(CA$41="","",TEXTJOINARRAY("|",TRUE,FINDLINKS(DatasetLinks,MATCH("Dataset "&amp;MINDS!CA$55,OFFSET(DatasetLinks,0,0,1),0), "File ", FileLookup, 2)))</f>
        <v/>
      </c>
      <c r="CB58" s="2" t="str">
        <f ca="1">IF(CB$41="","",TEXTJOINARRAY("|",TRUE,FINDLINKS(DatasetLinks,MATCH("Dataset "&amp;MINDS!CB$55,OFFSET(DatasetLinks,0,0,1),0), "File ", FileLookup, 2)))</f>
        <v/>
      </c>
      <c r="CC58" s="2" t="str">
        <f ca="1">IF(CC$41="","",TEXTJOINARRAY("|",TRUE,FINDLINKS(DatasetLinks,MATCH("Dataset "&amp;MINDS!CC$55,OFFSET(DatasetLinks,0,0,1),0), "File ", FileLookup, 2)))</f>
        <v/>
      </c>
      <c r="CD58" s="2" t="str">
        <f ca="1">IF(CD$41="","",TEXTJOINARRAY("|",TRUE,FINDLINKS(DatasetLinks,MATCH("Dataset "&amp;MINDS!CD$55,OFFSET(DatasetLinks,0,0,1),0), "File ", FileLookup, 2)))</f>
        <v/>
      </c>
      <c r="CE58" s="2" t="str">
        <f ca="1">IF(CE$41="","",TEXTJOINARRAY("|",TRUE,FINDLINKS(DatasetLinks,MATCH("Dataset "&amp;MINDS!CE$55,OFFSET(DatasetLinks,0,0,1),0), "File ", FileLookup, 2)))</f>
        <v/>
      </c>
      <c r="CF58" s="2" t="str">
        <f ca="1">IF(CF$41="","",TEXTJOINARRAY("|",TRUE,FINDLINKS(DatasetLinks,MATCH("Dataset "&amp;MINDS!CF$55,OFFSET(DatasetLinks,0,0,1),0), "File ", FileLookup, 2)))</f>
        <v/>
      </c>
      <c r="CG58" s="2" t="str">
        <f ca="1">IF(CG$41="","",TEXTJOINARRAY("|",TRUE,FINDLINKS(DatasetLinks,MATCH("Dataset "&amp;MINDS!CG$55,OFFSET(DatasetLinks,0,0,1),0), "File ", FileLookup, 2)))</f>
        <v/>
      </c>
      <c r="CH58" s="2" t="str">
        <f ca="1">IF(CH$41="","",TEXTJOINARRAY("|",TRUE,FINDLINKS(DatasetLinks,MATCH("Dataset "&amp;MINDS!CH$55,OFFSET(DatasetLinks,0,0,1),0), "File ", FileLookup, 2)))</f>
        <v/>
      </c>
      <c r="CI58" s="2" t="str">
        <f ca="1">IF(CI$41="","",TEXTJOINARRAY("|",TRUE,FINDLINKS(DatasetLinks,MATCH("Dataset "&amp;MINDS!CI$55,OFFSET(DatasetLinks,0,0,1),0), "File ", FileLookup, 2)))</f>
        <v/>
      </c>
      <c r="CJ58" s="2" t="str">
        <f ca="1">IF(CJ$41="","",TEXTJOINARRAY("|",TRUE,FINDLINKS(DatasetLinks,MATCH("Dataset "&amp;MINDS!CJ$55,OFFSET(DatasetLinks,0,0,1),0), "File ", FileLookup, 2)))</f>
        <v/>
      </c>
      <c r="CK58" s="2" t="str">
        <f ca="1">IF(CK$41="","",TEXTJOINARRAY("|",TRUE,FINDLINKS(DatasetLinks,MATCH("Dataset "&amp;MINDS!CK$55,OFFSET(DatasetLinks,0,0,1),0), "File ", FileLookup, 2)))</f>
        <v/>
      </c>
      <c r="CL58" s="2" t="str">
        <f ca="1">IF(CL$41="","",TEXTJOINARRAY("|",TRUE,FINDLINKS(DatasetLinks,MATCH("Dataset "&amp;MINDS!CL$55,OFFSET(DatasetLinks,0,0,1),0), "File ", FileLookup, 2)))</f>
        <v/>
      </c>
      <c r="CM58" s="2" t="str">
        <f ca="1">IF(CM$41="","",TEXTJOINARRAY("|",TRUE,FINDLINKS(DatasetLinks,MATCH("Dataset "&amp;MINDS!CM$55,OFFSET(DatasetLinks,0,0,1),0), "File ", FileLookup, 2)))</f>
        <v/>
      </c>
      <c r="CN58" s="2" t="str">
        <f ca="1">IF(CN$41="","",TEXTJOINARRAY("|",TRUE,FINDLINKS(DatasetLinks,MATCH("Dataset "&amp;MINDS!CN$55,OFFSET(DatasetLinks,0,0,1),0), "File ", FileLookup, 2)))</f>
        <v/>
      </c>
      <c r="CO58" s="2" t="str">
        <f ca="1">IF(CO$41="","",TEXTJOINARRAY("|",TRUE,FINDLINKS(DatasetLinks,MATCH("Dataset "&amp;MINDS!CO$55,OFFSET(DatasetLinks,0,0,1),0), "File ", FileLookup, 2)))</f>
        <v/>
      </c>
      <c r="CP58" s="2" t="str">
        <f ca="1">IF(CP$41="","",TEXTJOINARRAY("|",TRUE,FINDLINKS(DatasetLinks,MATCH("Dataset "&amp;MINDS!CP$55,OFFSET(DatasetLinks,0,0,1),0), "File ", FileLookup, 2)))</f>
        <v/>
      </c>
      <c r="CQ58" s="2" t="str">
        <f ca="1">IF(CQ$41="","",TEXTJOINARRAY("|",TRUE,FINDLINKS(DatasetLinks,MATCH("Dataset "&amp;MINDS!CQ$55,OFFSET(DatasetLinks,0,0,1),0), "File ", FileLookup, 2)))</f>
        <v/>
      </c>
      <c r="CR58" s="2" t="str">
        <f ca="1">IF(CR$41="","",TEXTJOINARRAY("|",TRUE,FINDLINKS(DatasetLinks,MATCH("Dataset "&amp;MINDS!CR$55,OFFSET(DatasetLinks,0,0,1),0), "File ", FileLookup, 2)))</f>
        <v/>
      </c>
      <c r="CS58" s="2" t="str">
        <f ca="1">IF(CS$41="","",TEXTJOINARRAY("|",TRUE,FINDLINKS(DatasetLinks,MATCH("Dataset "&amp;MINDS!CS$55,OFFSET(DatasetLinks,0,0,1),0), "File ", FileLookup, 2)))</f>
        <v/>
      </c>
      <c r="CT58" s="2" t="str">
        <f ca="1">IF(CT$41="","",TEXTJOINARRAY("|",TRUE,FINDLINKS(DatasetLinks,MATCH("Dataset "&amp;MINDS!CT$55,OFFSET(DatasetLinks,0,0,1),0), "File ", FileLookup, 2)))</f>
        <v/>
      </c>
      <c r="CU58" s="2" t="str">
        <f ca="1">IF(CU$41="","",TEXTJOINARRAY("|",TRUE,FINDLINKS(DatasetLinks,MATCH("Dataset "&amp;MINDS!CU$55,OFFSET(DatasetLinks,0,0,1),0), "File ", FileLookup, 2)))</f>
        <v/>
      </c>
      <c r="CV58" s="2" t="str">
        <f ca="1">IF(CV$41="","",TEXTJOINARRAY("|",TRUE,FINDLINKS(DatasetLinks,MATCH("Dataset "&amp;MINDS!CV$55,OFFSET(DatasetLinks,0,0,1),0), "File ", FileLookup, 2)))</f>
        <v/>
      </c>
      <c r="CW58" s="2" t="str">
        <f ca="1">IF(CW$41="","",TEXTJOINARRAY("|",TRUE,FINDLINKS(DatasetLinks,MATCH("Dataset "&amp;MINDS!CW$55,OFFSET(DatasetLinks,0,0,1),0), "File ", FileLookup, 2)))</f>
        <v/>
      </c>
      <c r="CX58" s="2" t="str">
        <f ca="1">IF(CX$41="","",TEXTJOINARRAY("|",TRUE,FINDLINKS(DatasetLinks,MATCH("Dataset "&amp;MINDS!CX$55,OFFSET(DatasetLinks,0,0,1),0), "File ", FileLookup, 2)))</f>
        <v/>
      </c>
      <c r="CY58" s="2" t="str">
        <f ca="1">IF(CY$41="","",TEXTJOINARRAY("|",TRUE,FINDLINKS(DatasetLinks,MATCH("Dataset "&amp;MINDS!CY$55,OFFSET(DatasetLinks,0,0,1),0), "File ", FileLookup, 2)))</f>
        <v/>
      </c>
      <c r="CZ58" s="2" t="str">
        <f ca="1">IF(CZ$41="","",TEXTJOINARRAY("|",TRUE,FINDLINKS(DatasetLinks,MATCH("Dataset "&amp;MINDS!CZ$55,OFFSET(DatasetLinks,0,0,1),0), "File ", FileLookup, 2)))</f>
        <v/>
      </c>
      <c r="DA58" s="2" t="str">
        <f ca="1">IF(DA$41="","",TEXTJOINARRAY("|",TRUE,FINDLINKS(DatasetLinks,MATCH("Dataset "&amp;MINDS!DA$55,OFFSET(DatasetLinks,0,0,1),0), "File ", FileLookup, 2)))</f>
        <v/>
      </c>
      <c r="DB58" s="2" t="str">
        <f ca="1">IF(DB$41="","",TEXTJOINARRAY("|",TRUE,FINDLINKS(DatasetLinks,MATCH("Dataset "&amp;MINDS!DB$55,OFFSET(DatasetLinks,0,0,1),0), "File ", FileLookup, 2)))</f>
        <v/>
      </c>
      <c r="DC58" s="2" t="str">
        <f ca="1">IF(DC$41="","",TEXTJOINARRAY("|",TRUE,FINDLINKS(DatasetLinks,MATCH("Dataset "&amp;MINDS!DC$55,OFFSET(DatasetLinks,0,0,1),0), "File ", FileLookup, 2)))</f>
        <v/>
      </c>
      <c r="DD58" s="2" t="str">
        <f ca="1">IF(DD$41="","",TEXTJOINARRAY("|",TRUE,FINDLINKS(DatasetLinks,MATCH("Dataset "&amp;MINDS!DD$55,OFFSET(DatasetLinks,0,0,1),0), "File ", FileLookup, 2)))</f>
        <v/>
      </c>
      <c r="DE58" s="2" t="str">
        <f ca="1">IF(DE$41="","",TEXTJOINARRAY("|",TRUE,FINDLINKS(DatasetLinks,MATCH("Dataset "&amp;MINDS!DE$55,OFFSET(DatasetLinks,0,0,1),0), "File ", FileLookup, 2)))</f>
        <v/>
      </c>
      <c r="DF58" s="2" t="str">
        <f ca="1">IF(DF$41="","",TEXTJOINARRAY("|",TRUE,FINDLINKS(DatasetLinks,MATCH("Dataset "&amp;MINDS!DF$55,OFFSET(DatasetLinks,0,0,1),0), "File ", FileLookup, 2)))</f>
        <v/>
      </c>
      <c r="DG58" s="2" t="str">
        <f ca="1">IF(DG$41="","",TEXTJOINARRAY("|",TRUE,FINDLINKS(DatasetLinks,MATCH("Dataset "&amp;MINDS!DG$55,OFFSET(DatasetLinks,0,0,1),0), "File ", FileLookup, 2)))</f>
        <v/>
      </c>
      <c r="DH58" s="2" t="str">
        <f ca="1">IF(DH$41="","",TEXTJOINARRAY("|",TRUE,FINDLINKS(DatasetLinks,MATCH("Dataset "&amp;MINDS!DH$55,OFFSET(DatasetLinks,0,0,1),0), "File ", FileLookup, 2)))</f>
        <v/>
      </c>
      <c r="DI58" s="2" t="str">
        <f ca="1">IF(DI$41="","",TEXTJOINARRAY("|",TRUE,FINDLINKS(DatasetLinks,MATCH("Dataset "&amp;MINDS!DI$55,OFFSET(DatasetLinks,0,0,1),0), "File ", FileLookup, 2)))</f>
        <v/>
      </c>
      <c r="DJ58" s="2" t="str">
        <f ca="1">IF(DJ$41="","",TEXTJOINARRAY("|",TRUE,FINDLINKS(DatasetLinks,MATCH("Dataset "&amp;MINDS!DJ$55,OFFSET(DatasetLinks,0,0,1),0), "File ", FileLookup, 2)))</f>
        <v/>
      </c>
      <c r="DK58" s="2" t="str">
        <f ca="1">IF(DK$41="","",TEXTJOINARRAY("|",TRUE,FINDLINKS(DatasetLinks,MATCH("Dataset "&amp;MINDS!DK$55,OFFSET(DatasetLinks,0,0,1),0), "File ", FileLookup, 2)))</f>
        <v/>
      </c>
      <c r="DL58" s="2" t="str">
        <f ca="1">IF(DL$41="","",TEXTJOINARRAY("|",TRUE,FINDLINKS(DatasetLinks,MATCH("Dataset "&amp;MINDS!DL$55,OFFSET(DatasetLinks,0,0,1),0), "File ", FileLookup, 2)))</f>
        <v/>
      </c>
      <c r="DM58" s="2" t="str">
        <f ca="1">IF(DM$41="","",TEXTJOINARRAY("|",TRUE,FINDLINKS(DatasetLinks,MATCH("Dataset "&amp;MINDS!DM$55,OFFSET(DatasetLinks,0,0,1),0), "File ", FileLookup, 2)))</f>
        <v/>
      </c>
      <c r="DN58" s="2" t="str">
        <f ca="1">IF(DN$41="","",TEXTJOINARRAY("|",TRUE,FINDLINKS(DatasetLinks,MATCH("Dataset "&amp;MINDS!DN$55,OFFSET(DatasetLinks,0,0,1),0), "File ", FileLookup, 2)))</f>
        <v/>
      </c>
      <c r="DO58" s="2" t="str">
        <f ca="1">IF(DO$41="","",TEXTJOINARRAY("|",TRUE,FINDLINKS(DatasetLinks,MATCH("Dataset "&amp;MINDS!DO$55,OFFSET(DatasetLinks,0,0,1),0), "File ", FileLookup, 2)))</f>
        <v/>
      </c>
      <c r="DP58" s="2" t="str">
        <f ca="1">IF(DP$41="","",TEXTJOINARRAY("|",TRUE,FINDLINKS(DatasetLinks,MATCH("Dataset "&amp;MINDS!DP$55,OFFSET(DatasetLinks,0,0,1),0), "File ", FileLookup, 2)))</f>
        <v/>
      </c>
      <c r="DQ58" s="2" t="str">
        <f ca="1">IF(DQ$41="","",TEXTJOINARRAY("|",TRUE,FINDLINKS(DatasetLinks,MATCH("Dataset "&amp;MINDS!DQ$55,OFFSET(DatasetLinks,0,0,1),0), "File ", FileLookup, 2)))</f>
        <v/>
      </c>
      <c r="DR58" s="2" t="str">
        <f ca="1">IF(DR$41="","",TEXTJOINARRAY("|",TRUE,FINDLINKS(DatasetLinks,MATCH("Dataset "&amp;MINDS!DR$55,OFFSET(DatasetLinks,0,0,1),0), "File ", FileLookup, 2)))</f>
        <v/>
      </c>
      <c r="DS58" s="2" t="str">
        <f ca="1">IF(DS$41="","",TEXTJOINARRAY("|",TRUE,FINDLINKS(DatasetLinks,MATCH("Dataset "&amp;MINDS!DS$55,OFFSET(DatasetLinks,0,0,1),0), "File ", FileLookup, 2)))</f>
        <v/>
      </c>
      <c r="DT58" s="2" t="str">
        <f ca="1">IF(DT$41="","",TEXTJOINARRAY("|",TRUE,FINDLINKS(DatasetLinks,MATCH("Dataset "&amp;MINDS!DT$55,OFFSET(DatasetLinks,0,0,1),0), "File ", FileLookup, 2)))</f>
        <v/>
      </c>
      <c r="DU58" s="2" t="str">
        <f ca="1">IF(DU$41="","",TEXTJOINARRAY("|",TRUE,FINDLINKS(DatasetLinks,MATCH("Dataset "&amp;MINDS!DU$55,OFFSET(DatasetLinks,0,0,1),0), "File ", FileLookup, 2)))</f>
        <v/>
      </c>
      <c r="DV58" s="2" t="str">
        <f ca="1">IF(DV$41="","",TEXTJOINARRAY("|",TRUE,FINDLINKS(DatasetLinks,MATCH("Dataset "&amp;MINDS!DV$55,OFFSET(DatasetLinks,0,0,1),0), "File ", FileLookup, 2)))</f>
        <v/>
      </c>
      <c r="DW58" s="2" t="str">
        <f ca="1">IF(DW$41="","",TEXTJOINARRAY("|",TRUE,FINDLINKS(DatasetLinks,MATCH("Dataset "&amp;MINDS!DW$55,OFFSET(DatasetLinks,0,0,1),0), "File ", FileLookup, 2)))</f>
        <v/>
      </c>
      <c r="DX58" s="2" t="str">
        <f ca="1">IF(DX$41="","",TEXTJOINARRAY("|",TRUE,FINDLINKS(DatasetLinks,MATCH("Dataset "&amp;MINDS!DX$55,OFFSET(DatasetLinks,0,0,1),0), "File ", FileLookup, 2)))</f>
        <v/>
      </c>
      <c r="DY58" s="2" t="str">
        <f ca="1">IF(DY$41="","",TEXTJOINARRAY("|",TRUE,FINDLINKS(DatasetLinks,MATCH("Dataset "&amp;MINDS!DY$55,OFFSET(DatasetLinks,0,0,1),0), "File ", FileLookup, 2)))</f>
        <v/>
      </c>
      <c r="DZ58" s="2" t="str">
        <f ca="1">IF(DZ$41="","",TEXTJOINARRAY("|",TRUE,FINDLINKS(DatasetLinks,MATCH("Dataset "&amp;MINDS!DZ$55,OFFSET(DatasetLinks,0,0,1),0), "File ", FileLookup, 2)))</f>
        <v/>
      </c>
      <c r="EA58" s="2" t="str">
        <f ca="1">IF(EA$41="","",TEXTJOINARRAY("|",TRUE,FINDLINKS(DatasetLinks,MATCH("Dataset "&amp;MINDS!EA$55,OFFSET(DatasetLinks,0,0,1),0), "File ", FileLookup, 2)))</f>
        <v/>
      </c>
      <c r="EB58" s="2" t="str">
        <f ca="1">IF(EB$41="","",TEXTJOINARRAY("|",TRUE,FINDLINKS(DatasetLinks,MATCH("Dataset "&amp;MINDS!EB$55,OFFSET(DatasetLinks,0,0,1),0), "File ", FileLookup, 2)))</f>
        <v/>
      </c>
      <c r="EC58" s="2" t="str">
        <f ca="1">IF(EC$41="","",TEXTJOINARRAY("|",TRUE,FINDLINKS(DatasetLinks,MATCH("Dataset "&amp;MINDS!EC$55,OFFSET(DatasetLinks,0,0,1),0), "File ", FileLookup, 2)))</f>
        <v/>
      </c>
      <c r="ED58" s="2" t="str">
        <f ca="1">IF(ED$41="","",TEXTJOINARRAY("|",TRUE,FINDLINKS(DatasetLinks,MATCH("Dataset "&amp;MINDS!ED$55,OFFSET(DatasetLinks,0,0,1),0), "File ", FileLookup, 2)))</f>
        <v/>
      </c>
      <c r="EE58" s="2" t="str">
        <f ca="1">IF(EE$41="","",TEXTJOINARRAY("|",TRUE,FINDLINKS(DatasetLinks,MATCH("Dataset "&amp;MINDS!EE$55,OFFSET(DatasetLinks,0,0,1),0), "File ", FileLookup, 2)))</f>
        <v/>
      </c>
      <c r="EF58" s="2" t="str">
        <f ca="1">IF(EF$41="","",TEXTJOINARRAY("|",TRUE,FINDLINKS(DatasetLinks,MATCH("Dataset "&amp;MINDS!EF$55,OFFSET(DatasetLinks,0,0,1),0), "File ", FileLookup, 2)))</f>
        <v/>
      </c>
      <c r="EG58" s="2" t="str">
        <f ca="1">IF(EG$41="","",TEXTJOINARRAY("|",TRUE,FINDLINKS(DatasetLinks,MATCH("Dataset "&amp;MINDS!EG$55,OFFSET(DatasetLinks,0,0,1),0), "File ", FileLookup, 2)))</f>
        <v/>
      </c>
      <c r="EH58" s="2" t="str">
        <f ca="1">IF(EH$41="","",TEXTJOINARRAY("|",TRUE,FINDLINKS(DatasetLinks,MATCH("Dataset "&amp;MINDS!EH$55,OFFSET(DatasetLinks,0,0,1),0), "File ", FileLookup, 2)))</f>
        <v/>
      </c>
      <c r="EI58" s="2" t="str">
        <f ca="1">IF(EI$41="","",TEXTJOINARRAY("|",TRUE,FINDLINKS(DatasetLinks,MATCH("Dataset "&amp;MINDS!EI$55,OFFSET(DatasetLinks,0,0,1),0), "File ", FileLookup, 2)))</f>
        <v/>
      </c>
      <c r="EJ58" s="2" t="str">
        <f ca="1">IF(EJ$41="","",TEXTJOINARRAY("|",TRUE,FINDLINKS(DatasetLinks,MATCH("Dataset "&amp;MINDS!EJ$55,OFFSET(DatasetLinks,0,0,1),0), "File ", FileLookup, 2)))</f>
        <v/>
      </c>
      <c r="EK58" s="2" t="str">
        <f ca="1">IF(EK$41="","",TEXTJOINARRAY("|",TRUE,FINDLINKS(DatasetLinks,MATCH("Dataset "&amp;MINDS!EK$55,OFFSET(DatasetLinks,0,0,1),0), "File ", FileLookup, 2)))</f>
        <v/>
      </c>
      <c r="EL58" s="2" t="str">
        <f ca="1">IF(EL$41="","",TEXTJOINARRAY("|",TRUE,FINDLINKS(DatasetLinks,MATCH("Dataset "&amp;MINDS!EL$55,OFFSET(DatasetLinks,0,0,1),0), "File ", FileLookup, 2)))</f>
        <v/>
      </c>
      <c r="EM58" s="2" t="str">
        <f ca="1">IF(EM$41="","",TEXTJOINARRAY("|",TRUE,FINDLINKS(DatasetLinks,MATCH("Dataset "&amp;MINDS!EM$55,OFFSET(DatasetLinks,0,0,1),0), "File ", FileLookup, 2)))</f>
        <v/>
      </c>
      <c r="EN58" s="2" t="str">
        <f ca="1">IF(EN$41="","",TEXTJOINARRAY("|",TRUE,FINDLINKS(DatasetLinks,MATCH("Dataset "&amp;MINDS!EN$55,OFFSET(DatasetLinks,0,0,1),0), "File ", FileLookup, 2)))</f>
        <v/>
      </c>
      <c r="EO58" s="2" t="str">
        <f ca="1">IF(EO$41="","",TEXTJOINARRAY("|",TRUE,FINDLINKS(DatasetLinks,MATCH("Dataset "&amp;MINDS!EO$55,OFFSET(DatasetLinks,0,0,1),0), "File ", FileLookup, 2)))</f>
        <v/>
      </c>
      <c r="EP58" s="2" t="str">
        <f ca="1">IF(EP$41="","",TEXTJOINARRAY("|",TRUE,FINDLINKS(DatasetLinks,MATCH("Dataset "&amp;MINDS!EP$55,OFFSET(DatasetLinks,0,0,1),0), "File ", FileLookup, 2)))</f>
        <v/>
      </c>
      <c r="EQ58" s="2" t="str">
        <f ca="1">IF(EQ$41="","",TEXTJOINARRAY("|",TRUE,FINDLINKS(DatasetLinks,MATCH("Dataset "&amp;MINDS!EQ$55,OFFSET(DatasetLinks,0,0,1),0), "File ", FileLookup, 2)))</f>
        <v/>
      </c>
      <c r="ER58" s="2" t="str">
        <f ca="1">IF(ER$41="","",TEXTJOINARRAY("|",TRUE,FINDLINKS(DatasetLinks,MATCH("Dataset "&amp;MINDS!ER$55,OFFSET(DatasetLinks,0,0,1),0), "File ", FileLookup, 2)))</f>
        <v/>
      </c>
      <c r="ES58" s="2" t="str">
        <f ca="1">IF(ES$41="","",TEXTJOINARRAY("|",TRUE,FINDLINKS(DatasetLinks,MATCH("Dataset "&amp;MINDS!ES$55,OFFSET(DatasetLinks,0,0,1),0), "File ", FileLookup, 2)))</f>
        <v/>
      </c>
      <c r="ET58" s="2" t="str">
        <f ca="1">IF(ET$41="","",TEXTJOINARRAY("|",TRUE,FINDLINKS(DatasetLinks,MATCH("Dataset "&amp;MINDS!ET$55,OFFSET(DatasetLinks,0,0,1),0), "File ", FileLookup, 2)))</f>
        <v/>
      </c>
      <c r="EU58" s="2" t="str">
        <f ca="1">IF(EU$41="","",TEXTJOINARRAY("|",TRUE,FINDLINKS(DatasetLinks,MATCH("Dataset "&amp;MINDS!EU$55,OFFSET(DatasetLinks,0,0,1),0), "File ", FileLookup, 2)))</f>
        <v/>
      </c>
      <c r="EV58" s="2" t="str">
        <f ca="1">IF(EV$41="","",TEXTJOINARRAY("|",TRUE,FINDLINKS(DatasetLinks,MATCH("Dataset "&amp;MINDS!EV$55,OFFSET(DatasetLinks,0,0,1),0), "File ", FileLookup, 2)))</f>
        <v/>
      </c>
      <c r="EW58" s="2" t="str">
        <f ca="1">IF(EW$41="","",TEXTJOINARRAY("|",TRUE,FINDLINKS(DatasetLinks,MATCH("Dataset "&amp;MINDS!EW$55,OFFSET(DatasetLinks,0,0,1),0), "File ", FileLookup, 2)))</f>
        <v/>
      </c>
      <c r="EX58" s="2" t="str">
        <f ca="1">IF(EX$41="","",TEXTJOINARRAY("|",TRUE,FINDLINKS(DatasetLinks,MATCH("Dataset "&amp;MINDS!EX$55,OFFSET(DatasetLinks,0,0,1),0), "File ", FileLookup, 2)))</f>
        <v/>
      </c>
      <c r="EY58" s="2" t="str">
        <f ca="1">IF(EY$41="","",TEXTJOINARRAY("|",TRUE,FINDLINKS(DatasetLinks,MATCH("Dataset "&amp;MINDS!EY$55,OFFSET(DatasetLinks,0,0,1),0), "File ", FileLookup, 2)))</f>
        <v/>
      </c>
      <c r="EZ58" s="2" t="str">
        <f ca="1">IF(EZ$41="","",TEXTJOINARRAY("|",TRUE,FINDLINKS(DatasetLinks,MATCH("Dataset "&amp;MINDS!EZ$55,OFFSET(DatasetLinks,0,0,1),0), "File ", FileLookup, 2)))</f>
        <v/>
      </c>
      <c r="FA58" s="2" t="str">
        <f ca="1">IF(FA$41="","",TEXTJOINARRAY("|",TRUE,FINDLINKS(DatasetLinks,MATCH("Dataset "&amp;MINDS!FA$55,OFFSET(DatasetLinks,0,0,1),0), "File ", FileLookup, 2)))</f>
        <v/>
      </c>
      <c r="FB58" s="2" t="str">
        <f ca="1">IF(FB$41="","",TEXTJOINARRAY("|",TRUE,FINDLINKS(DatasetLinks,MATCH("Dataset "&amp;MINDS!FB$55,OFFSET(DatasetLinks,0,0,1),0), "File ", FileLookup, 2)))</f>
        <v/>
      </c>
      <c r="FC58" s="2" t="str">
        <f ca="1">IF(FC$41="","",TEXTJOINARRAY("|",TRUE,FINDLINKS(DatasetLinks,MATCH("Dataset "&amp;MINDS!FC$55,OFFSET(DatasetLinks,0,0,1),0), "File ", FileLookup, 2)))</f>
        <v/>
      </c>
      <c r="FD58" s="2" t="str">
        <f ca="1">IF(FD$41="","",TEXTJOINARRAY("|",TRUE,FINDLINKS(DatasetLinks,MATCH("Dataset "&amp;MINDS!FD$55,OFFSET(DatasetLinks,0,0,1),0), "File ", FileLookup, 2)))</f>
        <v/>
      </c>
      <c r="FE58" s="2" t="str">
        <f ca="1">IF(FE$41="","",TEXTJOINARRAY("|",TRUE,FINDLINKS(DatasetLinks,MATCH("Dataset "&amp;MINDS!FE$55,OFFSET(DatasetLinks,0,0,1),0), "File ", FileLookup, 2)))</f>
        <v/>
      </c>
      <c r="FF58" s="2" t="str">
        <f ca="1">IF(FF$41="","",TEXTJOINARRAY("|",TRUE,FINDLINKS(DatasetLinks,MATCH("Dataset "&amp;MINDS!FF$55,OFFSET(DatasetLinks,0,0,1),0), "File ", FileLookup, 2)))</f>
        <v/>
      </c>
      <c r="FG58" s="2" t="str">
        <f ca="1">IF(FG$41="","",TEXTJOINARRAY("|",TRUE,FINDLINKS(DatasetLinks,MATCH("Dataset "&amp;MINDS!FG$55,OFFSET(DatasetLinks,0,0,1),0), "File ", FileLookup, 2)))</f>
        <v/>
      </c>
      <c r="FH58" s="2" t="str">
        <f ca="1">IF(FH$41="","",TEXTJOINARRAY("|",TRUE,FINDLINKS(DatasetLinks,MATCH("Dataset "&amp;MINDS!FH$55,OFFSET(DatasetLinks,0,0,1),0), "File ", FileLookup, 2)))</f>
        <v/>
      </c>
      <c r="FI58" s="2" t="str">
        <f ca="1">IF(FI$41="","",TEXTJOINARRAY("|",TRUE,FINDLINKS(DatasetLinks,MATCH("Dataset "&amp;MINDS!FI$55,OFFSET(DatasetLinks,0,0,1),0), "File ", FileLookup, 2)))</f>
        <v/>
      </c>
      <c r="FJ58" s="2" t="str">
        <f ca="1">IF(FJ$41="","",TEXTJOINARRAY("|",TRUE,FINDLINKS(DatasetLinks,MATCH("Dataset "&amp;MINDS!FJ$55,OFFSET(DatasetLinks,0,0,1),0), "File ", FileLookup, 2)))</f>
        <v/>
      </c>
      <c r="FK58" s="2" t="str">
        <f ca="1">IF(FK$41="","",TEXTJOINARRAY("|",TRUE,FINDLINKS(DatasetLinks,MATCH("Dataset "&amp;MINDS!FK$55,OFFSET(DatasetLinks,0,0,1),0), "File ", FileLookup, 2)))</f>
        <v/>
      </c>
      <c r="FL58" s="2" t="str">
        <f ca="1">IF(FL$41="","",TEXTJOINARRAY("|",TRUE,FINDLINKS(DatasetLinks,MATCH("Dataset "&amp;MINDS!FL$55,OFFSET(DatasetLinks,0,0,1),0), "File ", FileLookup, 2)))</f>
        <v/>
      </c>
      <c r="FM58" s="2" t="str">
        <f ca="1">IF(FM$41="","",TEXTJOINARRAY("|",TRUE,FINDLINKS(DatasetLinks,MATCH("Dataset "&amp;MINDS!FM$55,OFFSET(DatasetLinks,0,0,1),0), "File ", FileLookup, 2)))</f>
        <v/>
      </c>
      <c r="FN58" s="2" t="str">
        <f ca="1">IF(FN$41="","",TEXTJOINARRAY("|",TRUE,FINDLINKS(DatasetLinks,MATCH("Dataset "&amp;MINDS!FN$55,OFFSET(DatasetLinks,0,0,1),0), "File ", FileLookup, 2)))</f>
        <v/>
      </c>
      <c r="FO58" s="2" t="str">
        <f ca="1">IF(FO$41="","",TEXTJOINARRAY("|",TRUE,FINDLINKS(DatasetLinks,MATCH("Dataset "&amp;MINDS!FO$55,OFFSET(DatasetLinks,0,0,1),0), "File ", FileLookup, 2)))</f>
        <v/>
      </c>
      <c r="FP58" s="2" t="str">
        <f ca="1">IF(FP$41="","",TEXTJOINARRAY("|",TRUE,FINDLINKS(DatasetLinks,MATCH("Dataset "&amp;MINDS!FP$55,OFFSET(DatasetLinks,0,0,1),0), "File ", FileLookup, 2)))</f>
        <v/>
      </c>
      <c r="FQ58" s="2" t="str">
        <f ca="1">IF(FQ$41="","",TEXTJOINARRAY("|",TRUE,FINDLINKS(DatasetLinks,MATCH("Dataset "&amp;MINDS!FQ$55,OFFSET(DatasetLinks,0,0,1),0), "File ", FileLookup, 2)))</f>
        <v/>
      </c>
      <c r="FR58" s="2" t="str">
        <f ca="1">IF(FR$41="","",TEXTJOINARRAY("|",TRUE,FINDLINKS(DatasetLinks,MATCH("Dataset "&amp;MINDS!FR$55,OFFSET(DatasetLinks,0,0,1),0), "File ", FileLookup, 2)))</f>
        <v/>
      </c>
      <c r="FS58" s="2" t="str">
        <f ca="1">IF(FS$41="","",TEXTJOINARRAY("|",TRUE,FINDLINKS(DatasetLinks,MATCH("Dataset "&amp;MINDS!FS$55,OFFSET(DatasetLinks,0,0,1),0), "File ", FileLookup, 2)))</f>
        <v/>
      </c>
      <c r="FT58" s="2" t="str">
        <f ca="1">IF(FT$41="","",TEXTJOINARRAY("|",TRUE,FINDLINKS(DatasetLinks,MATCH("Dataset "&amp;MINDS!FT$55,OFFSET(DatasetLinks,0,0,1),0), "File ", FileLookup, 2)))</f>
        <v/>
      </c>
      <c r="FU58" s="2" t="str">
        <f ca="1">IF(FU$41="","",TEXTJOINARRAY("|",TRUE,FINDLINKS(DatasetLinks,MATCH("Dataset "&amp;MINDS!FU$55,OFFSET(DatasetLinks,0,0,1),0), "File ", FileLookup, 2)))</f>
        <v/>
      </c>
      <c r="FV58" s="2" t="str">
        <f ca="1">IF(FV$41="","",TEXTJOINARRAY("|",TRUE,FINDLINKS(DatasetLinks,MATCH("Dataset "&amp;MINDS!FV$55,OFFSET(DatasetLinks,0,0,1),0), "File ", FileLookup, 2)))</f>
        <v/>
      </c>
      <c r="FW58" s="2" t="str">
        <f ca="1">IF(FW$41="","",TEXTJOINARRAY("|",TRUE,FINDLINKS(DatasetLinks,MATCH("Dataset "&amp;MINDS!FW$55,OFFSET(DatasetLinks,0,0,1),0), "File ", FileLookup, 2)))</f>
        <v/>
      </c>
      <c r="FX58" s="2" t="str">
        <f ca="1">IF(FX$41="","",TEXTJOINARRAY("|",TRUE,FINDLINKS(DatasetLinks,MATCH("Dataset "&amp;MINDS!FX$55,OFFSET(DatasetLinks,0,0,1),0), "File ", FileLookup, 2)))</f>
        <v/>
      </c>
      <c r="FY58" s="2" t="str">
        <f ca="1">IF(FY$41="","",TEXTJOINARRAY("|",TRUE,FINDLINKS(DatasetLinks,MATCH("Dataset "&amp;MINDS!FY$55,OFFSET(DatasetLinks,0,0,1),0), "File ", FileLookup, 2)))</f>
        <v/>
      </c>
      <c r="FZ58" s="2" t="str">
        <f ca="1">IF(FZ$41="","",TEXTJOINARRAY("|",TRUE,FINDLINKS(DatasetLinks,MATCH("Dataset "&amp;MINDS!FZ$55,OFFSET(DatasetLinks,0,0,1),0), "File ", FileLookup, 2)))</f>
        <v/>
      </c>
      <c r="GA58" s="2" t="str">
        <f ca="1">IF(GA$41="","",TEXTJOINARRAY("|",TRUE,FINDLINKS(DatasetLinks,MATCH("Dataset "&amp;MINDS!GA$55,OFFSET(DatasetLinks,0,0,1),0), "File ", FileLookup, 2)))</f>
        <v/>
      </c>
      <c r="GB58" s="2" t="str">
        <f ca="1">IF(GB$41="","",TEXTJOINARRAY("|",TRUE,FINDLINKS(DatasetLinks,MATCH("Dataset "&amp;MINDS!GB$55,OFFSET(DatasetLinks,0,0,1),0), "File ", FileLookup, 2)))</f>
        <v/>
      </c>
      <c r="GC58" s="2" t="str">
        <f ca="1">IF(GC$41="","",TEXTJOINARRAY("|",TRUE,FINDLINKS(DatasetLinks,MATCH("Dataset "&amp;MINDS!GC$55,OFFSET(DatasetLinks,0,0,1),0), "File ", FileLookup, 2)))</f>
        <v/>
      </c>
      <c r="GD58" s="2" t="str">
        <f ca="1">IF(GD$41="","",TEXTJOINARRAY("|",TRUE,FINDLINKS(DatasetLinks,MATCH("Dataset "&amp;MINDS!GD$55,OFFSET(DatasetLinks,0,0,1),0), "File ", FileLookup, 2)))</f>
        <v/>
      </c>
      <c r="GE58" s="2" t="str">
        <f ca="1">IF(GE$41="","",TEXTJOINARRAY("|",TRUE,FINDLINKS(DatasetLinks,MATCH("Dataset "&amp;MINDS!GE$55,OFFSET(DatasetLinks,0,0,1),0), "File ", FileLookup, 2)))</f>
        <v/>
      </c>
      <c r="GF58" s="2" t="str">
        <f ca="1">IF(GF$41="","",TEXTJOINARRAY("|",TRUE,FINDLINKS(DatasetLinks,MATCH("Dataset "&amp;MINDS!GF$55,OFFSET(DatasetLinks,0,0,1),0), "File ", FileLookup, 2)))</f>
        <v/>
      </c>
      <c r="GG58" s="2" t="str">
        <f ca="1">IF(GG$41="","",TEXTJOINARRAY("|",TRUE,FINDLINKS(DatasetLinks,MATCH("Dataset "&amp;MINDS!GG$55,OFFSET(DatasetLinks,0,0,1),0), "File ", FileLookup, 2)))</f>
        <v/>
      </c>
      <c r="GH58" s="2" t="str">
        <f ca="1">IF(GH$41="","",TEXTJOINARRAY("|",TRUE,FINDLINKS(DatasetLinks,MATCH("Dataset "&amp;MINDS!GH$55,OFFSET(DatasetLinks,0,0,1),0), "File ", FileLookup, 2)))</f>
        <v/>
      </c>
      <c r="GI58" s="2" t="str">
        <f ca="1">IF(GI$41="","",TEXTJOINARRAY("|",TRUE,FINDLINKS(DatasetLinks,MATCH("Dataset "&amp;MINDS!GI$55,OFFSET(DatasetLinks,0,0,1),0), "File ", FileLookup, 2)))</f>
        <v/>
      </c>
      <c r="GJ58" s="2" t="str">
        <f ca="1">IF(GJ$41="","",TEXTJOINARRAY("|",TRUE,FINDLINKS(DatasetLinks,MATCH("Dataset "&amp;MINDS!GJ$55,OFFSET(DatasetLinks,0,0,1),0), "File ", FileLookup, 2)))</f>
        <v/>
      </c>
      <c r="GK58" s="2" t="str">
        <f ca="1">IF(GK$41="","",TEXTJOINARRAY("|",TRUE,FINDLINKS(DatasetLinks,MATCH("Dataset "&amp;MINDS!GK$55,OFFSET(DatasetLinks,0,0,1),0), "File ", FileLookup, 2)))</f>
        <v/>
      </c>
      <c r="GL58" s="2" t="str">
        <f ca="1">IF(GL$41="","",TEXTJOINARRAY("|",TRUE,FINDLINKS(DatasetLinks,MATCH("Dataset "&amp;MINDS!GL$55,OFFSET(DatasetLinks,0,0,1),0), "File ", FileLookup, 2)))</f>
        <v/>
      </c>
      <c r="GM58" s="2" t="str">
        <f ca="1">IF(GM$41="","",TEXTJOINARRAY("|",TRUE,FINDLINKS(DatasetLinks,MATCH("Dataset "&amp;MINDS!GM$55,OFFSET(DatasetLinks,0,0,1),0), "File ", FileLookup, 2)))</f>
        <v/>
      </c>
      <c r="GN58" s="2" t="str">
        <f ca="1">IF(GN$41="","",TEXTJOINARRAY("|",TRUE,FINDLINKS(DatasetLinks,MATCH("Dataset "&amp;MINDS!GN$55,OFFSET(DatasetLinks,0,0,1),0), "File ", FileLookup, 2)))</f>
        <v/>
      </c>
      <c r="GO58" s="2" t="str">
        <f ca="1">IF(GO$41="","",TEXTJOINARRAY("|",TRUE,FINDLINKS(DatasetLinks,MATCH("Dataset "&amp;MINDS!GO$55,OFFSET(DatasetLinks,0,0,1),0), "File ", FileLookup, 2)))</f>
        <v/>
      </c>
      <c r="GP58" s="2" t="str">
        <f ca="1">IF(GP$41="","",TEXTJOINARRAY("|",TRUE,FINDLINKS(DatasetLinks,MATCH("Dataset "&amp;MINDS!GP$55,OFFSET(DatasetLinks,0,0,1),0), "File ", FileLookup, 2)))</f>
        <v/>
      </c>
      <c r="GQ58" s="2" t="str">
        <f ca="1">IF(GQ$41="","",TEXTJOINARRAY("|",TRUE,FINDLINKS(DatasetLinks,MATCH("Dataset "&amp;MINDS!GQ$55,OFFSET(DatasetLinks,0,0,1),0), "File ", FileLookup, 2)))</f>
        <v/>
      </c>
      <c r="GR58" s="2" t="str">
        <f ca="1">IF(GR$41="","",TEXTJOINARRAY("|",TRUE,FINDLINKS(DatasetLinks,MATCH("Dataset "&amp;MINDS!GR$55,OFFSET(DatasetLinks,0,0,1),0), "File ", FileLookup, 2)))</f>
        <v/>
      </c>
      <c r="GS58" s="2" t="str">
        <f ca="1">IF(GS$41="","",TEXTJOINARRAY("|",TRUE,FINDLINKS(DatasetLinks,MATCH("Dataset "&amp;MINDS!GS$55,OFFSET(DatasetLinks,0,0,1),0), "File ", FileLookup, 2)))</f>
        <v/>
      </c>
      <c r="GT58" s="2" t="str">
        <f ca="1">IF(GT$41="","",TEXTJOINARRAY("|",TRUE,FINDLINKS(DatasetLinks,MATCH("Dataset "&amp;MINDS!GT$55,OFFSET(DatasetLinks,0,0,1),0), "File ", FileLookup, 2)))</f>
        <v/>
      </c>
      <c r="GU58" s="2" t="str">
        <f ca="1">IF(GU$41="","",TEXTJOINARRAY("|",TRUE,FINDLINKS(DatasetLinks,MATCH("Dataset "&amp;MINDS!GU$55,OFFSET(DatasetLinks,0,0,1),0), "File ", FileLookup, 2)))</f>
        <v/>
      </c>
      <c r="GV58" s="2" t="str">
        <f ca="1">IF(GV$41="","",TEXTJOINARRAY("|",TRUE,FINDLINKS(DatasetLinks,MATCH("Dataset "&amp;MINDS!GV$55,OFFSET(DatasetLinks,0,0,1),0), "File ", FileLookup, 2)))</f>
        <v/>
      </c>
      <c r="GW58" s="2" t="str">
        <f ca="1">IF(GW$41="","",TEXTJOINARRAY("|",TRUE,FINDLINKS(DatasetLinks,MATCH("Dataset "&amp;MINDS!GW$55,OFFSET(DatasetLinks,0,0,1),0), "File ", FileLookup, 2)))</f>
        <v/>
      </c>
      <c r="GX58" s="2" t="str">
        <f ca="1">IF(GX$41="","",TEXTJOINARRAY("|",TRUE,FINDLINKS(DatasetLinks,MATCH("Dataset "&amp;MINDS!GX$55,OFFSET(DatasetLinks,0,0,1),0), "File ", FileLookup, 2)))</f>
        <v/>
      </c>
      <c r="GY58" s="2" t="str">
        <f ca="1">IF(GY$41="","",TEXTJOINARRAY("|",TRUE,FINDLINKS(DatasetLinks,MATCH("Dataset "&amp;MINDS!GY$55,OFFSET(DatasetLinks,0,0,1),0), "File ", FileLookup, 2)))</f>
        <v/>
      </c>
      <c r="GZ58" s="2" t="str">
        <f ca="1">IF(GZ$41="","",TEXTJOINARRAY("|",TRUE,FINDLINKS(DatasetLinks,MATCH("Dataset "&amp;MINDS!GZ$55,OFFSET(DatasetLinks,0,0,1),0), "File ", FileLookup, 2)))</f>
        <v/>
      </c>
      <c r="HA58" s="2" t="str">
        <f ca="1">IF(HA$41="","",TEXTJOINARRAY("|",TRUE,FINDLINKS(DatasetLinks,MATCH("Dataset "&amp;MINDS!HA$55,OFFSET(DatasetLinks,0,0,1),0), "File ", FileLookup, 2)))</f>
        <v/>
      </c>
      <c r="HB58" s="2" t="str">
        <f ca="1">IF(HB$41="","",TEXTJOINARRAY("|",TRUE,FINDLINKS(DatasetLinks,MATCH("Dataset "&amp;MINDS!HB$55,OFFSET(DatasetLinks,0,0,1),0), "File ", FileLookup, 2)))</f>
        <v/>
      </c>
      <c r="HC58" s="2" t="str">
        <f ca="1">IF(HC$41="","",TEXTJOINARRAY("|",TRUE,FINDLINKS(DatasetLinks,MATCH("Dataset "&amp;MINDS!HC$55,OFFSET(DatasetLinks,0,0,1),0), "File ", FileLookup, 2)))</f>
        <v/>
      </c>
      <c r="HD58" s="2" t="str">
        <f ca="1">IF(HD$41="","",TEXTJOINARRAY("|",TRUE,FINDLINKS(DatasetLinks,MATCH("Dataset "&amp;MINDS!HD$55,OFFSET(DatasetLinks,0,0,1),0), "File ", FileLookup, 2)))</f>
        <v/>
      </c>
      <c r="HE58" s="2" t="str">
        <f ca="1">IF(HE$41="","",TEXTJOINARRAY("|",TRUE,FINDLINKS(DatasetLinks,MATCH("Dataset "&amp;MINDS!HE$55,OFFSET(DatasetLinks,0,0,1),0), "File ", FileLookup, 2)))</f>
        <v/>
      </c>
      <c r="HF58" s="2" t="str">
        <f ca="1">IF(HF$41="","",TEXTJOINARRAY("|",TRUE,FINDLINKS(DatasetLinks,MATCH("Dataset "&amp;MINDS!HF$55,OFFSET(DatasetLinks,0,0,1),0), "File ", FileLookup, 2)))</f>
        <v/>
      </c>
      <c r="HG58" s="2" t="str">
        <f ca="1">IF(HG$41="","",TEXTJOINARRAY("|",TRUE,FINDLINKS(DatasetLinks,MATCH("Dataset "&amp;MINDS!HG$55,OFFSET(DatasetLinks,0,0,1),0), "File ", FileLookup, 2)))</f>
        <v/>
      </c>
      <c r="HH58" s="2" t="str">
        <f ca="1">IF(HH$41="","",TEXTJOINARRAY("|",TRUE,FINDLINKS(DatasetLinks,MATCH("Dataset "&amp;MINDS!HH$55,OFFSET(DatasetLinks,0,0,1),0), "File ", FileLookup, 2)))</f>
        <v/>
      </c>
      <c r="HI58" s="2" t="str">
        <f ca="1">IF(HI$41="","",TEXTJOINARRAY("|",TRUE,FINDLINKS(DatasetLinks,MATCH("Dataset "&amp;MINDS!HI$55,OFFSET(DatasetLinks,0,0,1),0), "File ", FileLookup, 2)))</f>
        <v/>
      </c>
      <c r="HJ58" s="2" t="str">
        <f ca="1">IF(HJ$41="","",TEXTJOINARRAY("|",TRUE,FINDLINKS(DatasetLinks,MATCH("Dataset "&amp;MINDS!HJ$55,OFFSET(DatasetLinks,0,0,1),0), "File ", FileLookup, 2)))</f>
        <v/>
      </c>
      <c r="HK58" s="2" t="str">
        <f ca="1">IF(HK$41="","",TEXTJOINARRAY("|",TRUE,FINDLINKS(DatasetLinks,MATCH("Dataset "&amp;MINDS!HK$55,OFFSET(DatasetLinks,0,0,1),0), "File ", FileLookup, 2)))</f>
        <v/>
      </c>
      <c r="HL58" s="2" t="str">
        <f ca="1">IF(HL$41="","",TEXTJOINARRAY("|",TRUE,FINDLINKS(DatasetLinks,MATCH("Dataset "&amp;MINDS!HL$55,OFFSET(DatasetLinks,0,0,1),0), "File ", FileLookup, 2)))</f>
        <v/>
      </c>
      <c r="HM58" s="2" t="str">
        <f ca="1">IF(HM$41="","",TEXTJOINARRAY("|",TRUE,FINDLINKS(DatasetLinks,MATCH("Dataset "&amp;MINDS!HM$55,OFFSET(DatasetLinks,0,0,1),0), "File ", FileLookup, 2)))</f>
        <v/>
      </c>
      <c r="HN58" s="2" t="str">
        <f ca="1">IF(HN$41="","",TEXTJOINARRAY("|",TRUE,FINDLINKS(DatasetLinks,MATCH("Dataset "&amp;MINDS!HN$55,OFFSET(DatasetLinks,0,0,1),0), "File ", FileLookup, 2)))</f>
        <v/>
      </c>
      <c r="HO58" s="2" t="str">
        <f ca="1">IF(HO$41="","",TEXTJOINARRAY("|",TRUE,FINDLINKS(DatasetLinks,MATCH("Dataset "&amp;MINDS!HO$55,OFFSET(DatasetLinks,0,0,1),0), "File ", FileLookup, 2)))</f>
        <v/>
      </c>
      <c r="HP58" s="2" t="str">
        <f ca="1">IF(HP$41="","",TEXTJOINARRAY("|",TRUE,FINDLINKS(DatasetLinks,MATCH("Dataset "&amp;MINDS!HP$55,OFFSET(DatasetLinks,0,0,1),0), "File ", FileLookup, 2)))</f>
        <v/>
      </c>
      <c r="HQ58" s="2" t="str">
        <f ca="1">IF(HQ$41="","",TEXTJOINARRAY("|",TRUE,FINDLINKS(DatasetLinks,MATCH("Dataset "&amp;MINDS!HQ$55,OFFSET(DatasetLinks,0,0,1),0), "File ", FileLookup, 2)))</f>
        <v/>
      </c>
      <c r="HR58" s="2" t="str">
        <f ca="1">IF(HR$41="","",TEXTJOINARRAY("|",TRUE,FINDLINKS(DatasetLinks,MATCH("Dataset "&amp;MINDS!HR$55,OFFSET(DatasetLinks,0,0,1),0), "File ", FileLookup, 2)))</f>
        <v/>
      </c>
      <c r="HS58" s="2" t="str">
        <f ca="1">IF(HS$41="","",TEXTJOINARRAY("|",TRUE,FINDLINKS(DatasetLinks,MATCH("Dataset "&amp;MINDS!HS$55,OFFSET(DatasetLinks,0,0,1),0), "File ", FileLookup, 2)))</f>
        <v/>
      </c>
      <c r="HT58" s="2" t="str">
        <f ca="1">IF(HT$41="","",TEXTJOINARRAY("|",TRUE,FINDLINKS(DatasetLinks,MATCH("Dataset "&amp;MINDS!HT$55,OFFSET(DatasetLinks,0,0,1),0), "File ", FileLookup, 2)))</f>
        <v/>
      </c>
      <c r="HU58" s="2" t="str">
        <f ca="1">IF(HU$41="","",TEXTJOINARRAY("|",TRUE,FINDLINKS(DatasetLinks,MATCH("Dataset "&amp;MINDS!HU$55,OFFSET(DatasetLinks,0,0,1),0), "File ", FileLookup, 2)))</f>
        <v/>
      </c>
      <c r="HV58" s="2" t="str">
        <f ca="1">IF(HV$41="","",TEXTJOINARRAY("|",TRUE,FINDLINKS(DatasetLinks,MATCH("Dataset "&amp;MINDS!HV$55,OFFSET(DatasetLinks,0,0,1),0), "File ", FileLookup, 2)))</f>
        <v/>
      </c>
      <c r="HW58" s="2" t="str">
        <f ca="1">IF(HW$41="","",TEXTJOINARRAY("|",TRUE,FINDLINKS(DatasetLinks,MATCH("Dataset "&amp;MINDS!HW$55,OFFSET(DatasetLinks,0,0,1),0), "File ", FileLookup, 2)))</f>
        <v/>
      </c>
      <c r="HX58" s="2" t="str">
        <f ca="1">IF(HX$41="","",TEXTJOINARRAY("|",TRUE,FINDLINKS(DatasetLinks,MATCH("Dataset "&amp;MINDS!HX$55,OFFSET(DatasetLinks,0,0,1),0), "File ", FileLookup, 2)))</f>
        <v/>
      </c>
      <c r="HY58" s="2" t="str">
        <f ca="1">IF(HY$41="","",TEXTJOINARRAY("|",TRUE,FINDLINKS(DatasetLinks,MATCH("Dataset "&amp;MINDS!HY$55,OFFSET(DatasetLinks,0,0,1),0), "File ", FileLookup, 2)))</f>
        <v/>
      </c>
      <c r="HZ58" s="2" t="str">
        <f ca="1">IF(HZ$41="","",TEXTJOINARRAY("|",TRUE,FINDLINKS(DatasetLinks,MATCH("Dataset "&amp;MINDS!HZ$55,OFFSET(DatasetLinks,0,0,1),0), "File ", FileLookup, 2)))</f>
        <v/>
      </c>
      <c r="IA58" s="2" t="str">
        <f ca="1">IF(IA$41="","",TEXTJOINARRAY("|",TRUE,FINDLINKS(DatasetLinks,MATCH("Dataset "&amp;MINDS!IA$55,OFFSET(DatasetLinks,0,0,1),0), "File ", FileLookup, 2)))</f>
        <v/>
      </c>
      <c r="IB58" s="2" t="str">
        <f ca="1">IF(IB$41="","",TEXTJOINARRAY("|",TRUE,FINDLINKS(DatasetLinks,MATCH("Dataset "&amp;MINDS!IB$55,OFFSET(DatasetLinks,0,0,1),0), "File ", FileLookup, 2)))</f>
        <v/>
      </c>
      <c r="IC58" s="2" t="str">
        <f ca="1">IF(IC$41="","",TEXTJOINARRAY("|",TRUE,FINDLINKS(DatasetLinks,MATCH("Dataset "&amp;MINDS!IC$55,OFFSET(DatasetLinks,0,0,1),0), "File ", FileLookup, 2)))</f>
        <v/>
      </c>
      <c r="ID58" s="2" t="str">
        <f ca="1">IF(ID$41="","",TEXTJOINARRAY("|",TRUE,FINDLINKS(DatasetLinks,MATCH("Dataset "&amp;MINDS!ID$55,OFFSET(DatasetLinks,0,0,1),0), "File ", FileLookup, 2)))</f>
        <v/>
      </c>
      <c r="IE58" s="2" t="str">
        <f ca="1">IF(IE$41="","",TEXTJOINARRAY("|",TRUE,FINDLINKS(DatasetLinks,MATCH("Dataset "&amp;MINDS!IE$55,OFFSET(DatasetLinks,0,0,1),0), "File ", FileLookup, 2)))</f>
        <v/>
      </c>
      <c r="IF58" s="2" t="str">
        <f ca="1">IF(IF$41="","",TEXTJOINARRAY("|",TRUE,FINDLINKS(DatasetLinks,MATCH("Dataset "&amp;MINDS!IF$55,OFFSET(DatasetLinks,0,0,1),0), "File ", FileLookup, 2)))</f>
        <v/>
      </c>
      <c r="IG58" s="2" t="str">
        <f ca="1">IF(IG$41="","",TEXTJOINARRAY("|",TRUE,FINDLINKS(DatasetLinks,MATCH("Dataset "&amp;MINDS!IG$55,OFFSET(DatasetLinks,0,0,1),0), "File ", FileLookup, 2)))</f>
        <v/>
      </c>
      <c r="IH58" s="2" t="str">
        <f ca="1">IF(IH$41="","",TEXTJOINARRAY("|",TRUE,FINDLINKS(DatasetLinks,MATCH("Dataset "&amp;MINDS!IH$55,OFFSET(DatasetLinks,0,0,1),0), "File ", FileLookup, 2)))</f>
        <v/>
      </c>
      <c r="II58" s="2" t="str">
        <f ca="1">IF(II$41="","",TEXTJOINARRAY("|",TRUE,FINDLINKS(DatasetLinks,MATCH("Dataset "&amp;MINDS!II$55,OFFSET(DatasetLinks,0,0,1),0), "File ", FileLookup, 2)))</f>
        <v/>
      </c>
      <c r="IJ58" s="2" t="str">
        <f ca="1">IF(IJ$41="","",TEXTJOINARRAY("|",TRUE,FINDLINKS(DatasetLinks,MATCH("Dataset "&amp;MINDS!IJ$55,OFFSET(DatasetLinks,0,0,1),0), "File ", FileLookup, 2)))</f>
        <v/>
      </c>
      <c r="IK58" s="2" t="str">
        <f ca="1">IF(IK$41="","",TEXTJOINARRAY("|",TRUE,FINDLINKS(DatasetLinks,MATCH("Dataset "&amp;MINDS!IK$55,OFFSET(DatasetLinks,0,0,1),0), "File ", FileLookup, 2)))</f>
        <v/>
      </c>
      <c r="IL58" s="2" t="str">
        <f ca="1">IF(IL$41="","",TEXTJOINARRAY("|",TRUE,FINDLINKS(DatasetLinks,MATCH("Dataset "&amp;MINDS!IL$55,OFFSET(DatasetLinks,0,0,1),0), "File ", FileLookup, 2)))</f>
        <v/>
      </c>
      <c r="IM58" s="2" t="str">
        <f ca="1">IF(IM$41="","",TEXTJOINARRAY("|",TRUE,FINDLINKS(DatasetLinks,MATCH("Dataset "&amp;MINDS!IM$55,OFFSET(DatasetLinks,0,0,1),0), "File ", FileLookup, 2)))</f>
        <v/>
      </c>
      <c r="IN58" s="2" t="str">
        <f ca="1">IF(IN$41="","",TEXTJOINARRAY("|",TRUE,FINDLINKS(DatasetLinks,MATCH("Dataset "&amp;MINDS!IN$55,OFFSET(DatasetLinks,0,0,1),0), "File ", FileLookup, 2)))</f>
        <v/>
      </c>
      <c r="IO58" s="2" t="str">
        <f ca="1">IF(IO$41="","",TEXTJOINARRAY("|",TRUE,FINDLINKS(DatasetLinks,MATCH("Dataset "&amp;MINDS!IO$55,OFFSET(DatasetLinks,0,0,1),0), "File ", FileLookup, 2)))</f>
        <v/>
      </c>
      <c r="IP58" s="2" t="str">
        <f ca="1">IF(IP$41="","",TEXTJOINARRAY("|",TRUE,FINDLINKS(DatasetLinks,MATCH("Dataset "&amp;MINDS!IP$55,OFFSET(DatasetLinks,0,0,1),0), "File ", FileLookup, 2)))</f>
        <v/>
      </c>
      <c r="IQ58" s="2" t="str">
        <f ca="1">IF(IQ$41="","",TEXTJOINARRAY("|",TRUE,FINDLINKS(DatasetLinks,MATCH("Dataset "&amp;MINDS!IQ$55,OFFSET(DatasetLinks,0,0,1),0), "File ", FileLookup, 2)))</f>
        <v/>
      </c>
      <c r="IR58" s="2" t="str">
        <f ca="1">IF(IR$41="","",TEXTJOINARRAY("|",TRUE,FINDLINKS(DatasetLinks,MATCH("Dataset "&amp;MINDS!IR$55,OFFSET(DatasetLinks,0,0,1),0), "File ", FileLookup, 2)))</f>
        <v/>
      </c>
      <c r="IS58" s="2" t="str">
        <f ca="1">IF(IS$41="","",TEXTJOINARRAY("|",TRUE,FINDLINKS(DatasetLinks,MATCH("Dataset "&amp;MINDS!IS$55,OFFSET(DatasetLinks,0,0,1),0), "File ", FileLookup, 2)))</f>
        <v/>
      </c>
      <c r="IT58" s="2" t="str">
        <f ca="1">IF(IT$41="","",TEXTJOINARRAY("|",TRUE,FINDLINKS(DatasetLinks,MATCH("Dataset "&amp;MINDS!IT$55,OFFSET(DatasetLinks,0,0,1),0), "File ", FileLookup, 2)))</f>
        <v/>
      </c>
      <c r="IU58" s="2" t="str">
        <f ca="1">IF(IU$41="","",TEXTJOINARRAY("|",TRUE,FINDLINKS(DatasetLinks,MATCH("Dataset "&amp;MINDS!IU$55,OFFSET(DatasetLinks,0,0,1),0), "File ", FileLookup, 2)))</f>
        <v/>
      </c>
      <c r="IV58" s="2" t="str">
        <f ca="1">IF(IV$41="","",TEXTJOINARRAY("|",TRUE,FINDLINKS(DatasetLinks,MATCH("Dataset "&amp;MINDS!IV$55,OFFSET(DatasetLinks,0,0,1),0), "File ", FileLookup, 2)))</f>
        <v/>
      </c>
    </row>
    <row r="59" spans="1:256" x14ac:dyDescent="0.2">
      <c r="A59" s="3"/>
    </row>
    <row r="60" spans="1:256" x14ac:dyDescent="0.2">
      <c r="A60" s="2" t="str">
        <f>MINDS!$C$26&amp;", "&amp;MINDS!$C$25</f>
        <v xml:space="preserve">, </v>
      </c>
    </row>
    <row r="61" spans="1:256" x14ac:dyDescent="0.2">
      <c r="C61" s="2" t="str">
        <f>IF(NOT(ISBLANK(MINDS!C$23)),MINDS!C$23,"")</f>
        <v/>
      </c>
      <c r="D61" s="2" t="str">
        <f>IF(NOT(ISBLANK(MINDS!D$23)),MINDS!D$23,"")</f>
        <v/>
      </c>
      <c r="E61" s="2" t="str">
        <f>IF(NOT(ISBLANK(MINDS!E$23)),MINDS!E$23,"")</f>
        <v/>
      </c>
      <c r="F61" s="2" t="str">
        <f>IF(NOT(ISBLANK(MINDS!F$23)),MINDS!F$23,"")</f>
        <v/>
      </c>
      <c r="G61" s="2" t="str">
        <f>IF(NOT(ISBLANK(MINDS!G$23)),MINDS!G$23,"")</f>
        <v/>
      </c>
      <c r="H61" s="2" t="str">
        <f>IF(NOT(ISBLANK(MINDS!H$23)),MINDS!H$23,"")</f>
        <v/>
      </c>
      <c r="I61" s="2" t="str">
        <f>IF(NOT(ISBLANK(MINDS!I$23)),MINDS!I$23,"")</f>
        <v/>
      </c>
      <c r="J61" s="2" t="str">
        <f>IF(NOT(ISBLANK(MINDS!J$23)),MINDS!J$23,"")</f>
        <v/>
      </c>
      <c r="K61" s="2" t="str">
        <f>IF(NOT(ISBLANK(MINDS!K$23)),MINDS!K$23,"")</f>
        <v/>
      </c>
      <c r="L61" s="2" t="str">
        <f>IF(NOT(ISBLANK(MINDS!L$23)),MINDS!L$23,"")</f>
        <v/>
      </c>
      <c r="M61" s="2" t="str">
        <f>IF(NOT(ISBLANK(MINDS!M$23)),MINDS!M$23,"")</f>
        <v/>
      </c>
      <c r="N61" s="2" t="str">
        <f>IF(NOT(ISBLANK(MINDS!N$23)),MINDS!N$23,"")</f>
        <v/>
      </c>
      <c r="O61" s="2" t="str">
        <f>IF(NOT(ISBLANK(MINDS!O$23)),MINDS!O$23,"")</f>
        <v/>
      </c>
      <c r="P61" s="2" t="str">
        <f>IF(NOT(ISBLANK(MINDS!P$23)),MINDS!P$23,"")</f>
        <v/>
      </c>
      <c r="Q61" s="2" t="str">
        <f>IF(NOT(ISBLANK(MINDS!Q$23)),MINDS!Q$23,"")</f>
        <v/>
      </c>
      <c r="R61" s="2" t="str">
        <f>IF(NOT(ISBLANK(MINDS!R$23)),MINDS!R$23,"")</f>
        <v/>
      </c>
      <c r="S61" s="2" t="str">
        <f>IF(NOT(ISBLANK(MINDS!S$23)),MINDS!S$23,"")</f>
        <v/>
      </c>
      <c r="T61" s="2" t="str">
        <f>IF(NOT(ISBLANK(MINDS!T$23)),MINDS!T$23,"")</f>
        <v/>
      </c>
      <c r="U61" s="2" t="str">
        <f>IF(NOT(ISBLANK(MINDS!U$23)),MINDS!U$23,"")</f>
        <v/>
      </c>
      <c r="V61" s="2" t="str">
        <f>IF(NOT(ISBLANK(MINDS!V$23)),MINDS!V$23,"")</f>
        <v/>
      </c>
      <c r="W61" s="2" t="str">
        <f>IF(NOT(ISBLANK(MINDS!W$23)),MINDS!W$23,"")</f>
        <v/>
      </c>
      <c r="X61" s="2" t="str">
        <f>IF(NOT(ISBLANK(MINDS!X$23)),MINDS!X$23,"")</f>
        <v/>
      </c>
      <c r="Y61" s="2" t="str">
        <f>IF(NOT(ISBLANK(MINDS!Y$23)),MINDS!Y$23,"")</f>
        <v/>
      </c>
      <c r="Z61" s="2" t="str">
        <f>IF(NOT(ISBLANK(MINDS!Z$23)),MINDS!Z$23,"")</f>
        <v/>
      </c>
      <c r="AA61" s="2" t="str">
        <f>IF(NOT(ISBLANK(MINDS!AA$23)),MINDS!AA$23,"")</f>
        <v/>
      </c>
      <c r="AB61" s="2" t="str">
        <f>IF(NOT(ISBLANK(MINDS!AB$23)),MINDS!AB$23,"")</f>
        <v/>
      </c>
      <c r="AC61" s="2" t="str">
        <f>IF(NOT(ISBLANK(MINDS!AC$23)),MINDS!AC$23,"")</f>
        <v/>
      </c>
      <c r="AD61" s="2" t="str">
        <f>IF(NOT(ISBLANK(MINDS!AD$23)),MINDS!AD$23,"")</f>
        <v/>
      </c>
      <c r="AE61" s="2" t="str">
        <f>IF(NOT(ISBLANK(MINDS!AE$23)),MINDS!AE$23,"")</f>
        <v/>
      </c>
      <c r="AF61" s="2" t="str">
        <f>IF(NOT(ISBLANK(MINDS!AF$23)),MINDS!AF$23,"")</f>
        <v/>
      </c>
      <c r="AG61" s="2" t="str">
        <f>IF(NOT(ISBLANK(MINDS!AG$23)),MINDS!AG$23,"")</f>
        <v/>
      </c>
      <c r="AH61" s="2" t="str">
        <f>IF(NOT(ISBLANK(MINDS!AH$23)),MINDS!AH$23,"")</f>
        <v/>
      </c>
      <c r="AI61" s="2" t="str">
        <f>IF(NOT(ISBLANK(MINDS!AI$23)),MINDS!AI$23,"")</f>
        <v/>
      </c>
      <c r="AJ61" s="2" t="str">
        <f>IF(NOT(ISBLANK(MINDS!AJ$23)),MINDS!AJ$23,"")</f>
        <v/>
      </c>
      <c r="AK61" s="2" t="str">
        <f>IF(NOT(ISBLANK(MINDS!AK$23)),MINDS!AK$23,"")</f>
        <v/>
      </c>
      <c r="AL61" s="2" t="str">
        <f>IF(NOT(ISBLANK(MINDS!AL$23)),MINDS!AL$23,"")</f>
        <v/>
      </c>
      <c r="AM61" s="2" t="str">
        <f>IF(NOT(ISBLANK(MINDS!AM$23)),MINDS!AM$23,"")</f>
        <v/>
      </c>
      <c r="AN61" s="2" t="str">
        <f>IF(NOT(ISBLANK(MINDS!AN$23)),MINDS!AN$23,"")</f>
        <v/>
      </c>
      <c r="AO61" s="2" t="str">
        <f>IF(NOT(ISBLANK(MINDS!AO$23)),MINDS!AO$23,"")</f>
        <v/>
      </c>
      <c r="AP61" s="2" t="str">
        <f>IF(NOT(ISBLANK(MINDS!AP$23)),MINDS!AP$23,"")</f>
        <v/>
      </c>
      <c r="AQ61" s="2" t="str">
        <f>IF(NOT(ISBLANK(MINDS!AQ$23)),MINDS!AQ$23,"")</f>
        <v/>
      </c>
      <c r="AR61" s="2" t="str">
        <f>IF(NOT(ISBLANK(MINDS!AR$23)),MINDS!AR$23,"")</f>
        <v/>
      </c>
      <c r="AS61" s="2" t="str">
        <f>IF(NOT(ISBLANK(MINDS!AS$23)),MINDS!AS$23,"")</f>
        <v/>
      </c>
      <c r="AT61" s="2" t="str">
        <f>IF(NOT(ISBLANK(MINDS!AT$23)),MINDS!AT$23,"")</f>
        <v/>
      </c>
      <c r="AU61" s="2" t="str">
        <f>IF(NOT(ISBLANK(MINDS!AU$23)),MINDS!AU$23,"")</f>
        <v/>
      </c>
      <c r="AV61" s="2" t="str">
        <f>IF(NOT(ISBLANK(MINDS!AV$23)),MINDS!AV$23,"")</f>
        <v/>
      </c>
      <c r="AW61" s="2" t="str">
        <f>IF(NOT(ISBLANK(MINDS!AW$23)),MINDS!AW$23,"")</f>
        <v/>
      </c>
      <c r="AX61" s="2" t="str">
        <f>IF(NOT(ISBLANK(MINDS!AX$23)),MINDS!AX$23,"")</f>
        <v/>
      </c>
      <c r="AY61" s="2" t="str">
        <f>IF(NOT(ISBLANK(MINDS!AY$23)),MINDS!AY$23,"")</f>
        <v/>
      </c>
      <c r="AZ61" s="2" t="str">
        <f>IF(NOT(ISBLANK(MINDS!AZ$23)),MINDS!AZ$23,"")</f>
        <v/>
      </c>
      <c r="BA61" s="2" t="str">
        <f>IF(NOT(ISBLANK(MINDS!BA$23)),MINDS!BA$23,"")</f>
        <v/>
      </c>
      <c r="BB61" s="2" t="str">
        <f>IF(NOT(ISBLANK(MINDS!BB$23)),MINDS!BB$23,"")</f>
        <v/>
      </c>
      <c r="BC61" s="2" t="str">
        <f>IF(NOT(ISBLANK(MINDS!BC$23)),MINDS!BC$23,"")</f>
        <v/>
      </c>
      <c r="BD61" s="2" t="str">
        <f>IF(NOT(ISBLANK(MINDS!BD$23)),MINDS!BD$23,"")</f>
        <v/>
      </c>
      <c r="BE61" s="2" t="str">
        <f>IF(NOT(ISBLANK(MINDS!BE$23)),MINDS!BE$23,"")</f>
        <v/>
      </c>
      <c r="BF61" s="2" t="str">
        <f>IF(NOT(ISBLANK(MINDS!BF$23)),MINDS!BF$23,"")</f>
        <v/>
      </c>
      <c r="BG61" s="2" t="str">
        <f>IF(NOT(ISBLANK(MINDS!BG$23)),MINDS!BG$23,"")</f>
        <v/>
      </c>
      <c r="BH61" s="2" t="str">
        <f>IF(NOT(ISBLANK(MINDS!BH$23)),MINDS!BH$23,"")</f>
        <v/>
      </c>
      <c r="BI61" s="2" t="str">
        <f>IF(NOT(ISBLANK(MINDS!BI$23)),MINDS!BI$23,"")</f>
        <v/>
      </c>
      <c r="BJ61" s="2" t="str">
        <f>IF(NOT(ISBLANK(MINDS!BJ$23)),MINDS!BJ$23,"")</f>
        <v/>
      </c>
      <c r="BK61" s="2" t="str">
        <f>IF(NOT(ISBLANK(MINDS!BK$23)),MINDS!BK$23,"")</f>
        <v/>
      </c>
      <c r="BL61" s="2" t="str">
        <f>IF(NOT(ISBLANK(MINDS!BL$23)),MINDS!BL$23,"")</f>
        <v/>
      </c>
      <c r="BM61" s="2" t="str">
        <f>IF(NOT(ISBLANK(MINDS!BM$23)),MINDS!BM$23,"")</f>
        <v/>
      </c>
      <c r="BN61" s="2" t="str">
        <f>IF(NOT(ISBLANK(MINDS!BN$23)),MINDS!BN$23,"")</f>
        <v/>
      </c>
      <c r="BO61" s="2" t="str">
        <f>IF(NOT(ISBLANK(MINDS!BO$23)),MINDS!BO$23,"")</f>
        <v/>
      </c>
      <c r="BP61" s="2" t="str">
        <f>IF(NOT(ISBLANK(MINDS!BP$23)),MINDS!BP$23,"")</f>
        <v/>
      </c>
      <c r="BQ61" s="2" t="str">
        <f>IF(NOT(ISBLANK(MINDS!BQ$23)),MINDS!BQ$23,"")</f>
        <v/>
      </c>
      <c r="BR61" s="2" t="str">
        <f>IF(NOT(ISBLANK(MINDS!BR$23)),MINDS!BR$23,"")</f>
        <v/>
      </c>
      <c r="BS61" s="2" t="str">
        <f>IF(NOT(ISBLANK(MINDS!BS$23)),MINDS!BS$23,"")</f>
        <v/>
      </c>
      <c r="BT61" s="2" t="str">
        <f>IF(NOT(ISBLANK(MINDS!BT$23)),MINDS!BT$23,"")</f>
        <v/>
      </c>
      <c r="BU61" s="2" t="str">
        <f>IF(NOT(ISBLANK(MINDS!BU$23)),MINDS!BU$23,"")</f>
        <v/>
      </c>
      <c r="BV61" s="2" t="str">
        <f>IF(NOT(ISBLANK(MINDS!BV$23)),MINDS!BV$23,"")</f>
        <v/>
      </c>
      <c r="BW61" s="2" t="str">
        <f>IF(NOT(ISBLANK(MINDS!BW$23)),MINDS!BW$23,"")</f>
        <v/>
      </c>
      <c r="BX61" s="2" t="str">
        <f>IF(NOT(ISBLANK(MINDS!BX$23)),MINDS!BX$23,"")</f>
        <v/>
      </c>
      <c r="BY61" s="2" t="str">
        <f>IF(NOT(ISBLANK(MINDS!BY$23)),MINDS!BY$23,"")</f>
        <v/>
      </c>
      <c r="BZ61" s="2" t="str">
        <f>IF(NOT(ISBLANK(MINDS!BZ$23)),MINDS!BZ$23,"")</f>
        <v/>
      </c>
      <c r="CA61" s="2" t="str">
        <f>IF(NOT(ISBLANK(MINDS!CA$23)),MINDS!CA$23,"")</f>
        <v/>
      </c>
      <c r="CB61" s="2" t="str">
        <f>IF(NOT(ISBLANK(MINDS!CB$23)),MINDS!CB$23,"")</f>
        <v/>
      </c>
      <c r="CC61" s="2" t="str">
        <f>IF(NOT(ISBLANK(MINDS!CC$23)),MINDS!CC$23,"")</f>
        <v/>
      </c>
      <c r="CD61" s="2" t="str">
        <f>IF(NOT(ISBLANK(MINDS!CD$23)),MINDS!CD$23,"")</f>
        <v/>
      </c>
      <c r="CE61" s="2" t="str">
        <f>IF(NOT(ISBLANK(MINDS!CE$23)),MINDS!CE$23,"")</f>
        <v/>
      </c>
      <c r="CF61" s="2" t="str">
        <f>IF(NOT(ISBLANK(MINDS!CF$23)),MINDS!CF$23,"")</f>
        <v/>
      </c>
      <c r="CG61" s="2" t="str">
        <f>IF(NOT(ISBLANK(MINDS!CG$23)),MINDS!CG$23,"")</f>
        <v/>
      </c>
      <c r="CH61" s="2" t="str">
        <f>IF(NOT(ISBLANK(MINDS!CH$23)),MINDS!CH$23,"")</f>
        <v/>
      </c>
      <c r="CI61" s="2" t="str">
        <f>IF(NOT(ISBLANK(MINDS!CI$23)),MINDS!CI$23,"")</f>
        <v/>
      </c>
      <c r="CJ61" s="2" t="str">
        <f>IF(NOT(ISBLANK(MINDS!CJ$23)),MINDS!CJ$23,"")</f>
        <v/>
      </c>
      <c r="CK61" s="2" t="str">
        <f>IF(NOT(ISBLANK(MINDS!CK$23)),MINDS!CK$23,"")</f>
        <v/>
      </c>
      <c r="CL61" s="2" t="str">
        <f>IF(NOT(ISBLANK(MINDS!CL$23)),MINDS!CL$23,"")</f>
        <v/>
      </c>
      <c r="CM61" s="2" t="str">
        <f>IF(NOT(ISBLANK(MINDS!CM$23)),MINDS!CM$23,"")</f>
        <v/>
      </c>
      <c r="CN61" s="2" t="str">
        <f>IF(NOT(ISBLANK(MINDS!CN$23)),MINDS!CN$23,"")</f>
        <v/>
      </c>
      <c r="CO61" s="2" t="str">
        <f>IF(NOT(ISBLANK(MINDS!CO$23)),MINDS!CO$23,"")</f>
        <v/>
      </c>
      <c r="CP61" s="2" t="str">
        <f>IF(NOT(ISBLANK(MINDS!CP$23)),MINDS!CP$23,"")</f>
        <v/>
      </c>
      <c r="CQ61" s="2" t="str">
        <f>IF(NOT(ISBLANK(MINDS!CQ$23)),MINDS!CQ$23,"")</f>
        <v/>
      </c>
      <c r="CR61" s="2" t="str">
        <f>IF(NOT(ISBLANK(MINDS!CR$23)),MINDS!CR$23,"")</f>
        <v/>
      </c>
      <c r="CS61" s="2" t="str">
        <f>IF(NOT(ISBLANK(MINDS!CS$23)),MINDS!CS$23,"")</f>
        <v/>
      </c>
      <c r="CT61" s="2" t="str">
        <f>IF(NOT(ISBLANK(MINDS!CT$23)),MINDS!CT$23,"")</f>
        <v/>
      </c>
      <c r="CU61" s="2" t="str">
        <f>IF(NOT(ISBLANK(MINDS!CU$23)),MINDS!CU$23,"")</f>
        <v/>
      </c>
      <c r="CV61" s="2" t="str">
        <f>IF(NOT(ISBLANK(MINDS!CV$23)),MINDS!CV$23,"")</f>
        <v/>
      </c>
      <c r="CW61" s="2" t="str">
        <f>IF(NOT(ISBLANK(MINDS!CW$23)),MINDS!CW$23,"")</f>
        <v/>
      </c>
      <c r="CX61" s="2" t="str">
        <f>IF(NOT(ISBLANK(MINDS!CX$23)),MINDS!CX$23,"")</f>
        <v/>
      </c>
      <c r="CY61" s="2" t="str">
        <f>IF(NOT(ISBLANK(MINDS!CY$23)),MINDS!CY$23,"")</f>
        <v/>
      </c>
      <c r="CZ61" s="2" t="str">
        <f>IF(NOT(ISBLANK(MINDS!CZ$23)),MINDS!CZ$23,"")</f>
        <v/>
      </c>
      <c r="DA61" s="2" t="str">
        <f>IF(NOT(ISBLANK(MINDS!DA$23)),MINDS!DA$23,"")</f>
        <v/>
      </c>
      <c r="DB61" s="2" t="str">
        <f>IF(NOT(ISBLANK(MINDS!DB$23)),MINDS!DB$23,"")</f>
        <v/>
      </c>
      <c r="DC61" s="2" t="str">
        <f>IF(NOT(ISBLANK(MINDS!DC$23)),MINDS!DC$23,"")</f>
        <v/>
      </c>
      <c r="DD61" s="2" t="str">
        <f>IF(NOT(ISBLANK(MINDS!DD$23)),MINDS!DD$23,"")</f>
        <v/>
      </c>
      <c r="DE61" s="2" t="str">
        <f>IF(NOT(ISBLANK(MINDS!DE$23)),MINDS!DE$23,"")</f>
        <v/>
      </c>
      <c r="DF61" s="2" t="str">
        <f>IF(NOT(ISBLANK(MINDS!DF$23)),MINDS!DF$23,"")</f>
        <v/>
      </c>
      <c r="DG61" s="2" t="str">
        <f>IF(NOT(ISBLANK(MINDS!DG$23)),MINDS!DG$23,"")</f>
        <v/>
      </c>
      <c r="DH61" s="2" t="str">
        <f>IF(NOT(ISBLANK(MINDS!DH$23)),MINDS!DH$23,"")</f>
        <v/>
      </c>
      <c r="DI61" s="2" t="str">
        <f>IF(NOT(ISBLANK(MINDS!DI$23)),MINDS!DI$23,"")</f>
        <v/>
      </c>
      <c r="DJ61" s="2" t="str">
        <f>IF(NOT(ISBLANK(MINDS!DJ$23)),MINDS!DJ$23,"")</f>
        <v/>
      </c>
      <c r="DK61" s="2" t="str">
        <f>IF(NOT(ISBLANK(MINDS!DK$23)),MINDS!DK$23,"")</f>
        <v/>
      </c>
      <c r="DL61" s="2" t="str">
        <f>IF(NOT(ISBLANK(MINDS!DL$23)),MINDS!DL$23,"")</f>
        <v/>
      </c>
      <c r="DM61" s="2" t="str">
        <f>IF(NOT(ISBLANK(MINDS!DM$23)),MINDS!DM$23,"")</f>
        <v/>
      </c>
      <c r="DN61" s="2" t="str">
        <f>IF(NOT(ISBLANK(MINDS!DN$23)),MINDS!DN$23,"")</f>
        <v/>
      </c>
      <c r="DO61" s="2" t="str">
        <f>IF(NOT(ISBLANK(MINDS!DO$23)),MINDS!DO$23,"")</f>
        <v/>
      </c>
      <c r="DP61" s="2" t="str">
        <f>IF(NOT(ISBLANK(MINDS!DP$23)),MINDS!DP$23,"")</f>
        <v/>
      </c>
      <c r="DQ61" s="2" t="str">
        <f>IF(NOT(ISBLANK(MINDS!DQ$23)),MINDS!DQ$23,"")</f>
        <v/>
      </c>
      <c r="DR61" s="2" t="str">
        <f>IF(NOT(ISBLANK(MINDS!DR$23)),MINDS!DR$23,"")</f>
        <v/>
      </c>
      <c r="DS61" s="2" t="str">
        <f>IF(NOT(ISBLANK(MINDS!DS$23)),MINDS!DS$23,"")</f>
        <v/>
      </c>
      <c r="DT61" s="2" t="str">
        <f>IF(NOT(ISBLANK(MINDS!DT$23)),MINDS!DT$23,"")</f>
        <v/>
      </c>
      <c r="DU61" s="2" t="str">
        <f>IF(NOT(ISBLANK(MINDS!DU$23)),MINDS!DU$23,"")</f>
        <v/>
      </c>
      <c r="DV61" s="2" t="str">
        <f>IF(NOT(ISBLANK(MINDS!DV$23)),MINDS!DV$23,"")</f>
        <v/>
      </c>
      <c r="DW61" s="2" t="str">
        <f>IF(NOT(ISBLANK(MINDS!DW$23)),MINDS!DW$23,"")</f>
        <v/>
      </c>
      <c r="DX61" s="2" t="str">
        <f>IF(NOT(ISBLANK(MINDS!DX$23)),MINDS!DX$23,"")</f>
        <v/>
      </c>
      <c r="DY61" s="2" t="str">
        <f>IF(NOT(ISBLANK(MINDS!DY$23)),MINDS!DY$23,"")</f>
        <v/>
      </c>
      <c r="DZ61" s="2" t="str">
        <f>IF(NOT(ISBLANK(MINDS!DZ$23)),MINDS!DZ$23,"")</f>
        <v/>
      </c>
      <c r="EA61" s="2" t="str">
        <f>IF(NOT(ISBLANK(MINDS!EA$23)),MINDS!EA$23,"")</f>
        <v/>
      </c>
      <c r="EB61" s="2" t="str">
        <f>IF(NOT(ISBLANK(MINDS!EB$23)),MINDS!EB$23,"")</f>
        <v/>
      </c>
      <c r="EC61" s="2" t="str">
        <f>IF(NOT(ISBLANK(MINDS!EC$23)),MINDS!EC$23,"")</f>
        <v/>
      </c>
      <c r="ED61" s="2" t="str">
        <f>IF(NOT(ISBLANK(MINDS!ED$23)),MINDS!ED$23,"")</f>
        <v/>
      </c>
      <c r="EE61" s="2" t="str">
        <f>IF(NOT(ISBLANK(MINDS!EE$23)),MINDS!EE$23,"")</f>
        <v/>
      </c>
      <c r="EF61" s="2" t="str">
        <f>IF(NOT(ISBLANK(MINDS!EF$23)),MINDS!EF$23,"")</f>
        <v/>
      </c>
      <c r="EG61" s="2" t="str">
        <f>IF(NOT(ISBLANK(MINDS!EG$23)),MINDS!EG$23,"")</f>
        <v/>
      </c>
      <c r="EH61" s="2" t="str">
        <f>IF(NOT(ISBLANK(MINDS!EH$23)),MINDS!EH$23,"")</f>
        <v/>
      </c>
      <c r="EI61" s="2" t="str">
        <f>IF(NOT(ISBLANK(MINDS!EI$23)),MINDS!EI$23,"")</f>
        <v/>
      </c>
      <c r="EJ61" s="2" t="str">
        <f>IF(NOT(ISBLANK(MINDS!EJ$23)),MINDS!EJ$23,"")</f>
        <v/>
      </c>
      <c r="EK61" s="2" t="str">
        <f>IF(NOT(ISBLANK(MINDS!EK$23)),MINDS!EK$23,"")</f>
        <v/>
      </c>
      <c r="EL61" s="2" t="str">
        <f>IF(NOT(ISBLANK(MINDS!EL$23)),MINDS!EL$23,"")</f>
        <v/>
      </c>
      <c r="EM61" s="2" t="str">
        <f>IF(NOT(ISBLANK(MINDS!EM$23)),MINDS!EM$23,"")</f>
        <v/>
      </c>
      <c r="EN61" s="2" t="str">
        <f>IF(NOT(ISBLANK(MINDS!EN$23)),MINDS!EN$23,"")</f>
        <v/>
      </c>
      <c r="EO61" s="2" t="str">
        <f>IF(NOT(ISBLANK(MINDS!EO$23)),MINDS!EO$23,"")</f>
        <v/>
      </c>
      <c r="EP61" s="2" t="str">
        <f>IF(NOT(ISBLANK(MINDS!EP$23)),MINDS!EP$23,"")</f>
        <v/>
      </c>
      <c r="EQ61" s="2" t="str">
        <f>IF(NOT(ISBLANK(MINDS!EQ$23)),MINDS!EQ$23,"")</f>
        <v/>
      </c>
      <c r="ER61" s="2" t="str">
        <f>IF(NOT(ISBLANK(MINDS!ER$23)),MINDS!ER$23,"")</f>
        <v/>
      </c>
      <c r="ES61" s="2" t="str">
        <f>IF(NOT(ISBLANK(MINDS!ES$23)),MINDS!ES$23,"")</f>
        <v/>
      </c>
      <c r="ET61" s="2" t="str">
        <f>IF(NOT(ISBLANK(MINDS!ET$23)),MINDS!ET$23,"")</f>
        <v/>
      </c>
      <c r="EU61" s="2" t="str">
        <f>IF(NOT(ISBLANK(MINDS!EU$23)),MINDS!EU$23,"")</f>
        <v/>
      </c>
      <c r="EV61" s="2" t="str">
        <f>IF(NOT(ISBLANK(MINDS!EV$23)),MINDS!EV$23,"")</f>
        <v/>
      </c>
      <c r="EW61" s="2" t="str">
        <f>IF(NOT(ISBLANK(MINDS!EW$23)),MINDS!EW$23,"")</f>
        <v/>
      </c>
      <c r="EX61" s="2" t="str">
        <f>IF(NOT(ISBLANK(MINDS!EX$23)),MINDS!EX$23,"")</f>
        <v/>
      </c>
      <c r="EY61" s="2" t="str">
        <f>IF(NOT(ISBLANK(MINDS!EY$23)),MINDS!EY$23,"")</f>
        <v/>
      </c>
      <c r="EZ61" s="2" t="str">
        <f>IF(NOT(ISBLANK(MINDS!EZ$23)),MINDS!EZ$23,"")</f>
        <v/>
      </c>
      <c r="FA61" s="2" t="str">
        <f>IF(NOT(ISBLANK(MINDS!FA$23)),MINDS!FA$23,"")</f>
        <v/>
      </c>
      <c r="FB61" s="2" t="str">
        <f>IF(NOT(ISBLANK(MINDS!FB$23)),MINDS!FB$23,"")</f>
        <v/>
      </c>
      <c r="FC61" s="2" t="str">
        <f>IF(NOT(ISBLANK(MINDS!FC$23)),MINDS!FC$23,"")</f>
        <v/>
      </c>
      <c r="FD61" s="2" t="str">
        <f>IF(NOT(ISBLANK(MINDS!FD$23)),MINDS!FD$23,"")</f>
        <v/>
      </c>
      <c r="FE61" s="2" t="str">
        <f>IF(NOT(ISBLANK(MINDS!FE$23)),MINDS!FE$23,"")</f>
        <v/>
      </c>
      <c r="FF61" s="2" t="str">
        <f>IF(NOT(ISBLANK(MINDS!FF$23)),MINDS!FF$23,"")</f>
        <v/>
      </c>
      <c r="FG61" s="2" t="str">
        <f>IF(NOT(ISBLANK(MINDS!FG$23)),MINDS!FG$23,"")</f>
        <v/>
      </c>
      <c r="FH61" s="2" t="str">
        <f>IF(NOT(ISBLANK(MINDS!FH$23)),MINDS!FH$23,"")</f>
        <v/>
      </c>
      <c r="FI61" s="2" t="str">
        <f>IF(NOT(ISBLANK(MINDS!FI$23)),MINDS!FI$23,"")</f>
        <v/>
      </c>
      <c r="FJ61" s="2" t="str">
        <f>IF(NOT(ISBLANK(MINDS!FJ$23)),MINDS!FJ$23,"")</f>
        <v/>
      </c>
      <c r="FK61" s="2" t="str">
        <f>IF(NOT(ISBLANK(MINDS!FK$23)),MINDS!FK$23,"")</f>
        <v/>
      </c>
      <c r="FL61" s="2" t="str">
        <f>IF(NOT(ISBLANK(MINDS!FL$23)),MINDS!FL$23,"")</f>
        <v/>
      </c>
      <c r="FM61" s="2" t="str">
        <f>IF(NOT(ISBLANK(MINDS!FM$23)),MINDS!FM$23,"")</f>
        <v/>
      </c>
      <c r="FN61" s="2" t="str">
        <f>IF(NOT(ISBLANK(MINDS!FN$23)),MINDS!FN$23,"")</f>
        <v/>
      </c>
      <c r="FO61" s="2" t="str">
        <f>IF(NOT(ISBLANK(MINDS!FO$23)),MINDS!FO$23,"")</f>
        <v/>
      </c>
      <c r="FP61" s="2" t="str">
        <f>IF(NOT(ISBLANK(MINDS!FP$23)),MINDS!FP$23,"")</f>
        <v/>
      </c>
      <c r="FQ61" s="2" t="str">
        <f>IF(NOT(ISBLANK(MINDS!FQ$23)),MINDS!FQ$23,"")</f>
        <v/>
      </c>
      <c r="FR61" s="2" t="str">
        <f>IF(NOT(ISBLANK(MINDS!FR$23)),MINDS!FR$23,"")</f>
        <v/>
      </c>
      <c r="FS61" s="2" t="str">
        <f>IF(NOT(ISBLANK(MINDS!FS$23)),MINDS!FS$23,"")</f>
        <v/>
      </c>
      <c r="FT61" s="2" t="str">
        <f>IF(NOT(ISBLANK(MINDS!FT$23)),MINDS!FT$23,"")</f>
        <v/>
      </c>
      <c r="FU61" s="2" t="str">
        <f>IF(NOT(ISBLANK(MINDS!FU$23)),MINDS!FU$23,"")</f>
        <v/>
      </c>
      <c r="FV61" s="2" t="str">
        <f>IF(NOT(ISBLANK(MINDS!FV$23)),MINDS!FV$23,"")</f>
        <v/>
      </c>
      <c r="FW61" s="2" t="str">
        <f>IF(NOT(ISBLANK(MINDS!FW$23)),MINDS!FW$23,"")</f>
        <v/>
      </c>
      <c r="FX61" s="2" t="str">
        <f>IF(NOT(ISBLANK(MINDS!FX$23)),MINDS!FX$23,"")</f>
        <v/>
      </c>
      <c r="FY61" s="2" t="str">
        <f>IF(NOT(ISBLANK(MINDS!FY$23)),MINDS!FY$23,"")</f>
        <v/>
      </c>
      <c r="FZ61" s="2" t="str">
        <f>IF(NOT(ISBLANK(MINDS!FZ$23)),MINDS!FZ$23,"")</f>
        <v/>
      </c>
      <c r="GA61" s="2" t="str">
        <f>IF(NOT(ISBLANK(MINDS!GA$23)),MINDS!GA$23,"")</f>
        <v/>
      </c>
      <c r="GB61" s="2" t="str">
        <f>IF(NOT(ISBLANK(MINDS!GB$23)),MINDS!GB$23,"")</f>
        <v/>
      </c>
      <c r="GC61" s="2" t="str">
        <f>IF(NOT(ISBLANK(MINDS!GC$23)),MINDS!GC$23,"")</f>
        <v/>
      </c>
      <c r="GD61" s="2" t="str">
        <f>IF(NOT(ISBLANK(MINDS!GD$23)),MINDS!GD$23,"")</f>
        <v/>
      </c>
      <c r="GE61" s="2" t="str">
        <f>IF(NOT(ISBLANK(MINDS!GE$23)),MINDS!GE$23,"")</f>
        <v/>
      </c>
      <c r="GF61" s="2" t="str">
        <f>IF(NOT(ISBLANK(MINDS!GF$23)),MINDS!GF$23,"")</f>
        <v/>
      </c>
      <c r="GG61" s="2" t="str">
        <f>IF(NOT(ISBLANK(MINDS!GG$23)),MINDS!GG$23,"")</f>
        <v/>
      </c>
      <c r="GH61" s="2" t="str">
        <f>IF(NOT(ISBLANK(MINDS!GH$23)),MINDS!GH$23,"")</f>
        <v/>
      </c>
      <c r="GI61" s="2" t="str">
        <f>IF(NOT(ISBLANK(MINDS!GI$23)),MINDS!GI$23,"")</f>
        <v/>
      </c>
      <c r="GJ61" s="2" t="str">
        <f>IF(NOT(ISBLANK(MINDS!GJ$23)),MINDS!GJ$23,"")</f>
        <v/>
      </c>
      <c r="GK61" s="2" t="str">
        <f>IF(NOT(ISBLANK(MINDS!GK$23)),MINDS!GK$23,"")</f>
        <v/>
      </c>
      <c r="GL61" s="2" t="str">
        <f>IF(NOT(ISBLANK(MINDS!GL$23)),MINDS!GL$23,"")</f>
        <v/>
      </c>
      <c r="GM61" s="2" t="str">
        <f>IF(NOT(ISBLANK(MINDS!GM$23)),MINDS!GM$23,"")</f>
        <v/>
      </c>
      <c r="GN61" s="2" t="str">
        <f>IF(NOT(ISBLANK(MINDS!GN$23)),MINDS!GN$23,"")</f>
        <v/>
      </c>
      <c r="GO61" s="2" t="str">
        <f>IF(NOT(ISBLANK(MINDS!GO$23)),MINDS!GO$23,"")</f>
        <v/>
      </c>
      <c r="GP61" s="2" t="str">
        <f>IF(NOT(ISBLANK(MINDS!GP$23)),MINDS!GP$23,"")</f>
        <v/>
      </c>
      <c r="GQ61" s="2" t="str">
        <f>IF(NOT(ISBLANK(MINDS!GQ$23)),MINDS!GQ$23,"")</f>
        <v/>
      </c>
      <c r="GR61" s="2" t="str">
        <f>IF(NOT(ISBLANK(MINDS!GR$23)),MINDS!GR$23,"")</f>
        <v/>
      </c>
      <c r="GS61" s="2" t="str">
        <f>IF(NOT(ISBLANK(MINDS!GS$23)),MINDS!GS$23,"")</f>
        <v/>
      </c>
      <c r="GT61" s="2" t="str">
        <f>IF(NOT(ISBLANK(MINDS!GT$23)),MINDS!GT$23,"")</f>
        <v/>
      </c>
      <c r="GU61" s="2" t="str">
        <f>IF(NOT(ISBLANK(MINDS!GU$23)),MINDS!GU$23,"")</f>
        <v/>
      </c>
      <c r="GV61" s="2" t="str">
        <f>IF(NOT(ISBLANK(MINDS!GV$23)),MINDS!GV$23,"")</f>
        <v/>
      </c>
      <c r="GW61" s="2" t="str">
        <f>IF(NOT(ISBLANK(MINDS!GW$23)),MINDS!GW$23,"")</f>
        <v/>
      </c>
      <c r="GX61" s="2" t="str">
        <f>IF(NOT(ISBLANK(MINDS!GX$23)),MINDS!GX$23,"")</f>
        <v/>
      </c>
      <c r="GY61" s="2" t="str">
        <f>IF(NOT(ISBLANK(MINDS!GY$23)),MINDS!GY$23,"")</f>
        <v/>
      </c>
      <c r="GZ61" s="2" t="str">
        <f>IF(NOT(ISBLANK(MINDS!GZ$23)),MINDS!GZ$23,"")</f>
        <v/>
      </c>
      <c r="HA61" s="2" t="str">
        <f>IF(NOT(ISBLANK(MINDS!HA$23)),MINDS!HA$23,"")</f>
        <v/>
      </c>
      <c r="HB61" s="2" t="str">
        <f>IF(NOT(ISBLANK(MINDS!HB$23)),MINDS!HB$23,"")</f>
        <v/>
      </c>
      <c r="HC61" s="2" t="str">
        <f>IF(NOT(ISBLANK(MINDS!HC$23)),MINDS!HC$23,"")</f>
        <v/>
      </c>
      <c r="HD61" s="2" t="str">
        <f>IF(NOT(ISBLANK(MINDS!HD$23)),MINDS!HD$23,"")</f>
        <v/>
      </c>
      <c r="HE61" s="2" t="str">
        <f>IF(NOT(ISBLANK(MINDS!HE$23)),MINDS!HE$23,"")</f>
        <v/>
      </c>
      <c r="HF61" s="2" t="str">
        <f>IF(NOT(ISBLANK(MINDS!HF$23)),MINDS!HF$23,"")</f>
        <v/>
      </c>
      <c r="HG61" s="2" t="str">
        <f>IF(NOT(ISBLANK(MINDS!HG$23)),MINDS!HG$23,"")</f>
        <v/>
      </c>
      <c r="HH61" s="2" t="str">
        <f>IF(NOT(ISBLANK(MINDS!HH$23)),MINDS!HH$23,"")</f>
        <v/>
      </c>
      <c r="HI61" s="2" t="str">
        <f>IF(NOT(ISBLANK(MINDS!HI$23)),MINDS!HI$23,"")</f>
        <v/>
      </c>
      <c r="HJ61" s="2" t="str">
        <f>IF(NOT(ISBLANK(MINDS!HJ$23)),MINDS!HJ$23,"")</f>
        <v/>
      </c>
      <c r="HK61" s="2" t="str">
        <f>IF(NOT(ISBLANK(MINDS!HK$23)),MINDS!HK$23,"")</f>
        <v/>
      </c>
      <c r="HL61" s="2" t="str">
        <f>IF(NOT(ISBLANK(MINDS!HL$23)),MINDS!HL$23,"")</f>
        <v/>
      </c>
      <c r="HM61" s="2" t="str">
        <f>IF(NOT(ISBLANK(MINDS!HM$23)),MINDS!HM$23,"")</f>
        <v/>
      </c>
      <c r="HN61" s="2" t="str">
        <f>IF(NOT(ISBLANK(MINDS!HN$23)),MINDS!HN$23,"")</f>
        <v/>
      </c>
      <c r="HO61" s="2" t="str">
        <f>IF(NOT(ISBLANK(MINDS!HO$23)),MINDS!HO$23,"")</f>
        <v/>
      </c>
      <c r="HP61" s="2" t="str">
        <f>IF(NOT(ISBLANK(MINDS!HP$23)),MINDS!HP$23,"")</f>
        <v/>
      </c>
      <c r="HQ61" s="2" t="str">
        <f>IF(NOT(ISBLANK(MINDS!HQ$23)),MINDS!HQ$23,"")</f>
        <v/>
      </c>
      <c r="HR61" s="2" t="str">
        <f>IF(NOT(ISBLANK(MINDS!HR$23)),MINDS!HR$23,"")</f>
        <v/>
      </c>
      <c r="HS61" s="2" t="str">
        <f>IF(NOT(ISBLANK(MINDS!HS$23)),MINDS!HS$23,"")</f>
        <v/>
      </c>
      <c r="HT61" s="2" t="str">
        <f>IF(NOT(ISBLANK(MINDS!HT$23)),MINDS!HT$23,"")</f>
        <v/>
      </c>
      <c r="HU61" s="2" t="str">
        <f>IF(NOT(ISBLANK(MINDS!HU$23)),MINDS!HU$23,"")</f>
        <v/>
      </c>
      <c r="HV61" s="2" t="str">
        <f>IF(NOT(ISBLANK(MINDS!HV$23)),MINDS!HV$23,"")</f>
        <v/>
      </c>
      <c r="HW61" s="2" t="str">
        <f>IF(NOT(ISBLANK(MINDS!HW$23)),MINDS!HW$23,"")</f>
        <v/>
      </c>
      <c r="HX61" s="2" t="str">
        <f>IF(NOT(ISBLANK(MINDS!HX$23)),MINDS!HX$23,"")</f>
        <v/>
      </c>
      <c r="HY61" s="2" t="str">
        <f>IF(NOT(ISBLANK(MINDS!HY$23)),MINDS!HY$23,"")</f>
        <v/>
      </c>
      <c r="HZ61" s="2" t="str">
        <f>IF(NOT(ISBLANK(MINDS!HZ$23)),MINDS!HZ$23,"")</f>
        <v/>
      </c>
      <c r="IA61" s="2" t="str">
        <f>IF(NOT(ISBLANK(MINDS!IA$23)),MINDS!IA$23,"")</f>
        <v/>
      </c>
      <c r="IB61" s="2" t="str">
        <f>IF(NOT(ISBLANK(MINDS!IB$23)),MINDS!IB$23,"")</f>
        <v/>
      </c>
      <c r="IC61" s="2" t="str">
        <f>IF(NOT(ISBLANK(MINDS!IC$23)),MINDS!IC$23,"")</f>
        <v/>
      </c>
      <c r="ID61" s="2" t="str">
        <f>IF(NOT(ISBLANK(MINDS!ID$23)),MINDS!ID$23,"")</f>
        <v/>
      </c>
      <c r="IE61" s="2" t="str">
        <f>IF(NOT(ISBLANK(MINDS!IE$23)),MINDS!IE$23,"")</f>
        <v/>
      </c>
      <c r="IF61" s="2" t="str">
        <f>IF(NOT(ISBLANK(MINDS!IF$23)),MINDS!IF$23,"")</f>
        <v/>
      </c>
      <c r="IG61" s="2" t="str">
        <f>IF(NOT(ISBLANK(MINDS!IG$23)),MINDS!IG$23,"")</f>
        <v/>
      </c>
      <c r="IH61" s="2" t="str">
        <f>IF(NOT(ISBLANK(MINDS!IH$23)),MINDS!IH$23,"")</f>
        <v/>
      </c>
      <c r="II61" s="2" t="str">
        <f>IF(NOT(ISBLANK(MINDS!II$23)),MINDS!II$23,"")</f>
        <v/>
      </c>
      <c r="IJ61" s="2" t="str">
        <f>IF(NOT(ISBLANK(MINDS!IJ$23)),MINDS!IJ$23,"")</f>
        <v/>
      </c>
      <c r="IK61" s="2" t="str">
        <f>IF(NOT(ISBLANK(MINDS!IK$23)),MINDS!IK$23,"")</f>
        <v/>
      </c>
      <c r="IL61" s="2" t="str">
        <f>IF(NOT(ISBLANK(MINDS!IL$23)),MINDS!IL$23,"")</f>
        <v/>
      </c>
      <c r="IM61" s="2" t="str">
        <f>IF(NOT(ISBLANK(MINDS!IM$23)),MINDS!IM$23,"")</f>
        <v/>
      </c>
      <c r="IN61" s="2" t="str">
        <f>IF(NOT(ISBLANK(MINDS!IN$23)),MINDS!IN$23,"")</f>
        <v/>
      </c>
      <c r="IO61" s="2" t="str">
        <f>IF(NOT(ISBLANK(MINDS!IO$23)),MINDS!IO$23,"")</f>
        <v/>
      </c>
      <c r="IP61" s="2" t="str">
        <f>IF(NOT(ISBLANK(MINDS!IP$23)),MINDS!IP$23,"")</f>
        <v/>
      </c>
      <c r="IQ61" s="2" t="str">
        <f>IF(NOT(ISBLANK(MINDS!IQ$23)),MINDS!IQ$23,"")</f>
        <v/>
      </c>
      <c r="IR61" s="2" t="str">
        <f>IF(NOT(ISBLANK(MINDS!IR$23)),MINDS!IR$23,"")</f>
        <v/>
      </c>
      <c r="IS61" s="2" t="str">
        <f>IF(NOT(ISBLANK(MINDS!IS$23)),MINDS!IS$23,"")</f>
        <v/>
      </c>
      <c r="IT61" s="2" t="str">
        <f>IF(NOT(ISBLANK(MINDS!IT$23)),MINDS!IT$23,"")</f>
        <v/>
      </c>
      <c r="IU61" s="2" t="str">
        <f>IF(NOT(ISBLANK(MINDS!IU$23)),MINDS!IU$23,"")</f>
        <v/>
      </c>
      <c r="IV61" s="2" t="str">
        <f>IF(NOT(ISBLANK(MINDS!IV$23)),MINDS!IV$23,"")</f>
        <v/>
      </c>
    </row>
    <row r="62" spans="1:256" x14ac:dyDescent="0.2">
      <c r="C62" s="2" t="str">
        <f>IF(NOT(ISBLANK(MINDS!C$26)),MINDS!C$26&amp;", "&amp;MINDS!C$25,"")</f>
        <v/>
      </c>
      <c r="D62" s="2" t="str">
        <f>IF(NOT(ISBLANK(MINDS!D$26)),MINDS!D$26&amp;", "&amp;MINDS!D$25,"")</f>
        <v/>
      </c>
      <c r="E62" s="2" t="str">
        <f>IF(NOT(ISBLANK(MINDS!E$26)),MINDS!E$26&amp;", "&amp;MINDS!E$25,"")</f>
        <v/>
      </c>
      <c r="F62" s="2" t="str">
        <f>IF(NOT(ISBLANK(MINDS!F$26)),MINDS!F$26&amp;", "&amp;MINDS!F$25,"")</f>
        <v/>
      </c>
      <c r="G62" s="2" t="str">
        <f>IF(NOT(ISBLANK(MINDS!G$26)),MINDS!G$26&amp;", "&amp;MINDS!G$25,"")</f>
        <v/>
      </c>
      <c r="H62" s="2" t="str">
        <f>IF(NOT(ISBLANK(MINDS!H$26)),MINDS!H$26&amp;", "&amp;MINDS!H$25,"")</f>
        <v/>
      </c>
      <c r="I62" s="2" t="str">
        <f>IF(NOT(ISBLANK(MINDS!I$26)),MINDS!I$26&amp;", "&amp;MINDS!I$25,"")</f>
        <v/>
      </c>
      <c r="J62" s="2" t="str">
        <f>IF(NOT(ISBLANK(MINDS!J$26)),MINDS!J$26&amp;", "&amp;MINDS!J$25,"")</f>
        <v/>
      </c>
      <c r="K62" s="2" t="str">
        <f>IF(NOT(ISBLANK(MINDS!K$26)),MINDS!K$26&amp;", "&amp;MINDS!K$25,"")</f>
        <v/>
      </c>
      <c r="L62" s="2" t="str">
        <f>IF(NOT(ISBLANK(MINDS!L$26)),MINDS!L$26&amp;", "&amp;MINDS!L$25,"")</f>
        <v/>
      </c>
      <c r="M62" s="2" t="str">
        <f>IF(NOT(ISBLANK(MINDS!M$26)),MINDS!M$26&amp;", "&amp;MINDS!M$25,"")</f>
        <v/>
      </c>
      <c r="N62" s="2" t="str">
        <f>IF(NOT(ISBLANK(MINDS!N$26)),MINDS!N$26&amp;", "&amp;MINDS!N$25,"")</f>
        <v/>
      </c>
      <c r="O62" s="2" t="str">
        <f>IF(NOT(ISBLANK(MINDS!O$26)),MINDS!O$26&amp;", "&amp;MINDS!O$25,"")</f>
        <v/>
      </c>
      <c r="P62" s="2" t="str">
        <f>IF(NOT(ISBLANK(MINDS!P$26)),MINDS!P$26&amp;", "&amp;MINDS!P$25,"")</f>
        <v/>
      </c>
      <c r="Q62" s="2" t="str">
        <f>IF(NOT(ISBLANK(MINDS!Q$26)),MINDS!Q$26&amp;", "&amp;MINDS!Q$25,"")</f>
        <v/>
      </c>
      <c r="R62" s="2" t="str">
        <f>IF(NOT(ISBLANK(MINDS!R$26)),MINDS!R$26&amp;", "&amp;MINDS!R$25,"")</f>
        <v/>
      </c>
      <c r="S62" s="2" t="str">
        <f>IF(NOT(ISBLANK(MINDS!S$26)),MINDS!S$26&amp;", "&amp;MINDS!S$25,"")</f>
        <v/>
      </c>
      <c r="T62" s="2" t="str">
        <f>IF(NOT(ISBLANK(MINDS!T$26)),MINDS!T$26&amp;", "&amp;MINDS!T$25,"")</f>
        <v/>
      </c>
      <c r="U62" s="2" t="str">
        <f>IF(NOT(ISBLANK(MINDS!U$26)),MINDS!U$26&amp;", "&amp;MINDS!U$25,"")</f>
        <v/>
      </c>
      <c r="V62" s="2" t="str">
        <f>IF(NOT(ISBLANK(MINDS!V$26)),MINDS!V$26&amp;", "&amp;MINDS!V$25,"")</f>
        <v/>
      </c>
      <c r="W62" s="2" t="str">
        <f>IF(NOT(ISBLANK(MINDS!W$26)),MINDS!W$26&amp;", "&amp;MINDS!W$25,"")</f>
        <v/>
      </c>
      <c r="X62" s="2" t="str">
        <f>IF(NOT(ISBLANK(MINDS!X$26)),MINDS!X$26&amp;", "&amp;MINDS!X$25,"")</f>
        <v/>
      </c>
      <c r="Y62" s="2" t="str">
        <f>IF(NOT(ISBLANK(MINDS!Y$26)),MINDS!Y$26&amp;", "&amp;MINDS!Y$25,"")</f>
        <v/>
      </c>
      <c r="Z62" s="2" t="str">
        <f>IF(NOT(ISBLANK(MINDS!Z$26)),MINDS!Z$26&amp;", "&amp;MINDS!Z$25,"")</f>
        <v/>
      </c>
      <c r="AA62" s="2" t="str">
        <f>IF(NOT(ISBLANK(MINDS!AA$26)),MINDS!AA$26&amp;", "&amp;MINDS!AA$25,"")</f>
        <v/>
      </c>
      <c r="AB62" s="2" t="str">
        <f>IF(NOT(ISBLANK(MINDS!AB$26)),MINDS!AB$26&amp;", "&amp;MINDS!AB$25,"")</f>
        <v/>
      </c>
      <c r="AC62" s="2" t="str">
        <f>IF(NOT(ISBLANK(MINDS!AC$26)),MINDS!AC$26&amp;", "&amp;MINDS!AC$25,"")</f>
        <v/>
      </c>
      <c r="AD62" s="2" t="str">
        <f>IF(NOT(ISBLANK(MINDS!AD$26)),MINDS!AD$26&amp;", "&amp;MINDS!AD$25,"")</f>
        <v/>
      </c>
      <c r="AE62" s="2" t="str">
        <f>IF(NOT(ISBLANK(MINDS!AE$26)),MINDS!AE$26&amp;", "&amp;MINDS!AE$25,"")</f>
        <v/>
      </c>
      <c r="AF62" s="2" t="str">
        <f>IF(NOT(ISBLANK(MINDS!AF$26)),MINDS!AF$26&amp;", "&amp;MINDS!AF$25,"")</f>
        <v/>
      </c>
      <c r="AG62" s="2" t="str">
        <f>IF(NOT(ISBLANK(MINDS!AG$26)),MINDS!AG$26&amp;", "&amp;MINDS!AG$25,"")</f>
        <v/>
      </c>
      <c r="AH62" s="2" t="str">
        <f>IF(NOT(ISBLANK(MINDS!AH$26)),MINDS!AH$26&amp;", "&amp;MINDS!AH$25,"")</f>
        <v/>
      </c>
      <c r="AI62" s="2" t="str">
        <f>IF(NOT(ISBLANK(MINDS!AI$26)),MINDS!AI$26&amp;", "&amp;MINDS!AI$25,"")</f>
        <v/>
      </c>
      <c r="AJ62" s="2" t="str">
        <f>IF(NOT(ISBLANK(MINDS!AJ$26)),MINDS!AJ$26&amp;", "&amp;MINDS!AJ$25,"")</f>
        <v/>
      </c>
      <c r="AK62" s="2" t="str">
        <f>IF(NOT(ISBLANK(MINDS!AK$26)),MINDS!AK$26&amp;", "&amp;MINDS!AK$25,"")</f>
        <v/>
      </c>
      <c r="AL62" s="2" t="str">
        <f>IF(NOT(ISBLANK(MINDS!AL$26)),MINDS!AL$26&amp;", "&amp;MINDS!AL$25,"")</f>
        <v/>
      </c>
      <c r="AM62" s="2" t="str">
        <f>IF(NOT(ISBLANK(MINDS!AM$26)),MINDS!AM$26&amp;", "&amp;MINDS!AM$25,"")</f>
        <v/>
      </c>
      <c r="AN62" s="2" t="str">
        <f>IF(NOT(ISBLANK(MINDS!AN$26)),MINDS!AN$26&amp;", "&amp;MINDS!AN$25,"")</f>
        <v/>
      </c>
      <c r="AO62" s="2" t="str">
        <f>IF(NOT(ISBLANK(MINDS!AO$26)),MINDS!AO$26&amp;", "&amp;MINDS!AO$25,"")</f>
        <v/>
      </c>
      <c r="AP62" s="2" t="str">
        <f>IF(NOT(ISBLANK(MINDS!AP$26)),MINDS!AP$26&amp;", "&amp;MINDS!AP$25,"")</f>
        <v/>
      </c>
      <c r="AQ62" s="2" t="str">
        <f>IF(NOT(ISBLANK(MINDS!AQ$26)),MINDS!AQ$26&amp;", "&amp;MINDS!AQ$25,"")</f>
        <v/>
      </c>
      <c r="AR62" s="2" t="str">
        <f>IF(NOT(ISBLANK(MINDS!AR$26)),MINDS!AR$26&amp;", "&amp;MINDS!AR$25,"")</f>
        <v/>
      </c>
      <c r="AS62" s="2" t="str">
        <f>IF(NOT(ISBLANK(MINDS!AS$26)),MINDS!AS$26&amp;", "&amp;MINDS!AS$25,"")</f>
        <v/>
      </c>
      <c r="AT62" s="2" t="str">
        <f>IF(NOT(ISBLANK(MINDS!AT$26)),MINDS!AT$26&amp;", "&amp;MINDS!AT$25,"")</f>
        <v/>
      </c>
      <c r="AU62" s="2" t="str">
        <f>IF(NOT(ISBLANK(MINDS!AU$26)),MINDS!AU$26&amp;", "&amp;MINDS!AU$25,"")</f>
        <v/>
      </c>
      <c r="AV62" s="2" t="str">
        <f>IF(NOT(ISBLANK(MINDS!AV$26)),MINDS!AV$26&amp;", "&amp;MINDS!AV$25,"")</f>
        <v/>
      </c>
      <c r="AW62" s="2" t="str">
        <f>IF(NOT(ISBLANK(MINDS!AW$26)),MINDS!AW$26&amp;", "&amp;MINDS!AW$25,"")</f>
        <v/>
      </c>
      <c r="AX62" s="2" t="str">
        <f>IF(NOT(ISBLANK(MINDS!AX$26)),MINDS!AX$26&amp;", "&amp;MINDS!AX$25,"")</f>
        <v/>
      </c>
      <c r="AY62" s="2" t="str">
        <f>IF(NOT(ISBLANK(MINDS!AY$26)),MINDS!AY$26&amp;", "&amp;MINDS!AY$25,"")</f>
        <v/>
      </c>
      <c r="AZ62" s="2" t="str">
        <f>IF(NOT(ISBLANK(MINDS!AZ$26)),MINDS!AZ$26&amp;", "&amp;MINDS!AZ$25,"")</f>
        <v/>
      </c>
      <c r="BA62" s="2" t="str">
        <f>IF(NOT(ISBLANK(MINDS!BA$26)),MINDS!BA$26&amp;", "&amp;MINDS!BA$25,"")</f>
        <v/>
      </c>
      <c r="BB62" s="2" t="str">
        <f>IF(NOT(ISBLANK(MINDS!BB$26)),MINDS!BB$26&amp;", "&amp;MINDS!BB$25,"")</f>
        <v/>
      </c>
      <c r="BC62" s="2" t="str">
        <f>IF(NOT(ISBLANK(MINDS!BC$26)),MINDS!BC$26&amp;", "&amp;MINDS!BC$25,"")</f>
        <v/>
      </c>
      <c r="BD62" s="2" t="str">
        <f>IF(NOT(ISBLANK(MINDS!BD$26)),MINDS!BD$26&amp;", "&amp;MINDS!BD$25,"")</f>
        <v/>
      </c>
      <c r="BE62" s="2" t="str">
        <f>IF(NOT(ISBLANK(MINDS!BE$26)),MINDS!BE$26&amp;", "&amp;MINDS!BE$25,"")</f>
        <v/>
      </c>
      <c r="BF62" s="2" t="str">
        <f>IF(NOT(ISBLANK(MINDS!BF$26)),MINDS!BF$26&amp;", "&amp;MINDS!BF$25,"")</f>
        <v/>
      </c>
      <c r="BG62" s="2" t="str">
        <f>IF(NOT(ISBLANK(MINDS!BG$26)),MINDS!BG$26&amp;", "&amp;MINDS!BG$25,"")</f>
        <v/>
      </c>
      <c r="BH62" s="2" t="str">
        <f>IF(NOT(ISBLANK(MINDS!BH$26)),MINDS!BH$26&amp;", "&amp;MINDS!BH$25,"")</f>
        <v/>
      </c>
      <c r="BI62" s="2" t="str">
        <f>IF(NOT(ISBLANK(MINDS!BI$26)),MINDS!BI$26&amp;", "&amp;MINDS!BI$25,"")</f>
        <v/>
      </c>
      <c r="BJ62" s="2" t="str">
        <f>IF(NOT(ISBLANK(MINDS!BJ$26)),MINDS!BJ$26&amp;", "&amp;MINDS!BJ$25,"")</f>
        <v/>
      </c>
      <c r="BK62" s="2" t="str">
        <f>IF(NOT(ISBLANK(MINDS!BK$26)),MINDS!BK$26&amp;", "&amp;MINDS!BK$25,"")</f>
        <v/>
      </c>
      <c r="BL62" s="2" t="str">
        <f>IF(NOT(ISBLANK(MINDS!BL$26)),MINDS!BL$26&amp;", "&amp;MINDS!BL$25,"")</f>
        <v/>
      </c>
      <c r="BM62" s="2" t="str">
        <f>IF(NOT(ISBLANK(MINDS!BM$26)),MINDS!BM$26&amp;", "&amp;MINDS!BM$25,"")</f>
        <v/>
      </c>
      <c r="BN62" s="2" t="str">
        <f>IF(NOT(ISBLANK(MINDS!BN$26)),MINDS!BN$26&amp;", "&amp;MINDS!BN$25,"")</f>
        <v/>
      </c>
      <c r="BO62" s="2" t="str">
        <f>IF(NOT(ISBLANK(MINDS!BO$26)),MINDS!BO$26&amp;", "&amp;MINDS!BO$25,"")</f>
        <v/>
      </c>
      <c r="BP62" s="2" t="str">
        <f>IF(NOT(ISBLANK(MINDS!BP$26)),MINDS!BP$26&amp;", "&amp;MINDS!BP$25,"")</f>
        <v/>
      </c>
      <c r="BQ62" s="2" t="str">
        <f>IF(NOT(ISBLANK(MINDS!BQ$26)),MINDS!BQ$26&amp;", "&amp;MINDS!BQ$25,"")</f>
        <v/>
      </c>
      <c r="BR62" s="2" t="str">
        <f>IF(NOT(ISBLANK(MINDS!BR$26)),MINDS!BR$26&amp;", "&amp;MINDS!BR$25,"")</f>
        <v/>
      </c>
      <c r="BS62" s="2" t="str">
        <f>IF(NOT(ISBLANK(MINDS!BS$26)),MINDS!BS$26&amp;", "&amp;MINDS!BS$25,"")</f>
        <v/>
      </c>
      <c r="BT62" s="2" t="str">
        <f>IF(NOT(ISBLANK(MINDS!BT$26)),MINDS!BT$26&amp;", "&amp;MINDS!BT$25,"")</f>
        <v/>
      </c>
      <c r="BU62" s="2" t="str">
        <f>IF(NOT(ISBLANK(MINDS!BU$26)),MINDS!BU$26&amp;", "&amp;MINDS!BU$25,"")</f>
        <v/>
      </c>
      <c r="BV62" s="2" t="str">
        <f>IF(NOT(ISBLANK(MINDS!BV$26)),MINDS!BV$26&amp;", "&amp;MINDS!BV$25,"")</f>
        <v/>
      </c>
      <c r="BW62" s="2" t="str">
        <f>IF(NOT(ISBLANK(MINDS!BW$26)),MINDS!BW$26&amp;", "&amp;MINDS!BW$25,"")</f>
        <v/>
      </c>
      <c r="BX62" s="2" t="str">
        <f>IF(NOT(ISBLANK(MINDS!BX$26)),MINDS!BX$26&amp;", "&amp;MINDS!BX$25,"")</f>
        <v/>
      </c>
      <c r="BY62" s="2" t="str">
        <f>IF(NOT(ISBLANK(MINDS!BY$26)),MINDS!BY$26&amp;", "&amp;MINDS!BY$25,"")</f>
        <v/>
      </c>
      <c r="BZ62" s="2" t="str">
        <f>IF(NOT(ISBLANK(MINDS!BZ$26)),MINDS!BZ$26&amp;", "&amp;MINDS!BZ$25,"")</f>
        <v/>
      </c>
      <c r="CA62" s="2" t="str">
        <f>IF(NOT(ISBLANK(MINDS!CA$26)),MINDS!CA$26&amp;", "&amp;MINDS!CA$25,"")</f>
        <v/>
      </c>
      <c r="CB62" s="2" t="str">
        <f>IF(NOT(ISBLANK(MINDS!CB$26)),MINDS!CB$26&amp;", "&amp;MINDS!CB$25,"")</f>
        <v/>
      </c>
      <c r="CC62" s="2" t="str">
        <f>IF(NOT(ISBLANK(MINDS!CC$26)),MINDS!CC$26&amp;", "&amp;MINDS!CC$25,"")</f>
        <v/>
      </c>
      <c r="CD62" s="2" t="str">
        <f>IF(NOT(ISBLANK(MINDS!CD$26)),MINDS!CD$26&amp;", "&amp;MINDS!CD$25,"")</f>
        <v/>
      </c>
      <c r="CE62" s="2" t="str">
        <f>IF(NOT(ISBLANK(MINDS!CE$26)),MINDS!CE$26&amp;", "&amp;MINDS!CE$25,"")</f>
        <v/>
      </c>
      <c r="CF62" s="2" t="str">
        <f>IF(NOT(ISBLANK(MINDS!CF$26)),MINDS!CF$26&amp;", "&amp;MINDS!CF$25,"")</f>
        <v/>
      </c>
      <c r="CG62" s="2" t="str">
        <f>IF(NOT(ISBLANK(MINDS!CG$26)),MINDS!CG$26&amp;", "&amp;MINDS!CG$25,"")</f>
        <v/>
      </c>
      <c r="CH62" s="2" t="str">
        <f>IF(NOT(ISBLANK(MINDS!CH$26)),MINDS!CH$26&amp;", "&amp;MINDS!CH$25,"")</f>
        <v/>
      </c>
      <c r="CI62" s="2" t="str">
        <f>IF(NOT(ISBLANK(MINDS!CI$26)),MINDS!CI$26&amp;", "&amp;MINDS!CI$25,"")</f>
        <v/>
      </c>
      <c r="CJ62" s="2" t="str">
        <f>IF(NOT(ISBLANK(MINDS!CJ$26)),MINDS!CJ$26&amp;", "&amp;MINDS!CJ$25,"")</f>
        <v/>
      </c>
      <c r="CK62" s="2" t="str">
        <f>IF(NOT(ISBLANK(MINDS!CK$26)),MINDS!CK$26&amp;", "&amp;MINDS!CK$25,"")</f>
        <v/>
      </c>
      <c r="CL62" s="2" t="str">
        <f>IF(NOT(ISBLANK(MINDS!CL$26)),MINDS!CL$26&amp;", "&amp;MINDS!CL$25,"")</f>
        <v/>
      </c>
      <c r="CM62" s="2" t="str">
        <f>IF(NOT(ISBLANK(MINDS!CM$26)),MINDS!CM$26&amp;", "&amp;MINDS!CM$25,"")</f>
        <v/>
      </c>
      <c r="CN62" s="2" t="str">
        <f>IF(NOT(ISBLANK(MINDS!CN$26)),MINDS!CN$26&amp;", "&amp;MINDS!CN$25,"")</f>
        <v/>
      </c>
      <c r="CO62" s="2" t="str">
        <f>IF(NOT(ISBLANK(MINDS!CO$26)),MINDS!CO$26&amp;", "&amp;MINDS!CO$25,"")</f>
        <v/>
      </c>
      <c r="CP62" s="2" t="str">
        <f>IF(NOT(ISBLANK(MINDS!CP$26)),MINDS!CP$26&amp;", "&amp;MINDS!CP$25,"")</f>
        <v/>
      </c>
      <c r="CQ62" s="2" t="str">
        <f>IF(NOT(ISBLANK(MINDS!CQ$26)),MINDS!CQ$26&amp;", "&amp;MINDS!CQ$25,"")</f>
        <v/>
      </c>
      <c r="CR62" s="2" t="str">
        <f>IF(NOT(ISBLANK(MINDS!CR$26)),MINDS!CR$26&amp;", "&amp;MINDS!CR$25,"")</f>
        <v/>
      </c>
      <c r="CS62" s="2" t="str">
        <f>IF(NOT(ISBLANK(MINDS!CS$26)),MINDS!CS$26&amp;", "&amp;MINDS!CS$25,"")</f>
        <v/>
      </c>
      <c r="CT62" s="2" t="str">
        <f>IF(NOT(ISBLANK(MINDS!CT$26)),MINDS!CT$26&amp;", "&amp;MINDS!CT$25,"")</f>
        <v/>
      </c>
      <c r="CU62" s="2" t="str">
        <f>IF(NOT(ISBLANK(MINDS!CU$26)),MINDS!CU$26&amp;", "&amp;MINDS!CU$25,"")</f>
        <v/>
      </c>
      <c r="CV62" s="2" t="str">
        <f>IF(NOT(ISBLANK(MINDS!CV$26)),MINDS!CV$26&amp;", "&amp;MINDS!CV$25,"")</f>
        <v/>
      </c>
      <c r="CW62" s="2" t="str">
        <f>IF(NOT(ISBLANK(MINDS!CW$26)),MINDS!CW$26&amp;", "&amp;MINDS!CW$25,"")</f>
        <v/>
      </c>
      <c r="CX62" s="2" t="str">
        <f>IF(NOT(ISBLANK(MINDS!CX$26)),MINDS!CX$26&amp;", "&amp;MINDS!CX$25,"")</f>
        <v/>
      </c>
      <c r="CY62" s="2" t="str">
        <f>IF(NOT(ISBLANK(MINDS!CY$26)),MINDS!CY$26&amp;", "&amp;MINDS!CY$25,"")</f>
        <v/>
      </c>
      <c r="CZ62" s="2" t="str">
        <f>IF(NOT(ISBLANK(MINDS!CZ$26)),MINDS!CZ$26&amp;", "&amp;MINDS!CZ$25,"")</f>
        <v/>
      </c>
      <c r="DA62" s="2" t="str">
        <f>IF(NOT(ISBLANK(MINDS!DA$26)),MINDS!DA$26&amp;", "&amp;MINDS!DA$25,"")</f>
        <v/>
      </c>
      <c r="DB62" s="2" t="str">
        <f>IF(NOT(ISBLANK(MINDS!DB$26)),MINDS!DB$26&amp;", "&amp;MINDS!DB$25,"")</f>
        <v/>
      </c>
      <c r="DC62" s="2" t="str">
        <f>IF(NOT(ISBLANK(MINDS!DC$26)),MINDS!DC$26&amp;", "&amp;MINDS!DC$25,"")</f>
        <v/>
      </c>
      <c r="DD62" s="2" t="str">
        <f>IF(NOT(ISBLANK(MINDS!DD$26)),MINDS!DD$26&amp;", "&amp;MINDS!DD$25,"")</f>
        <v/>
      </c>
      <c r="DE62" s="2" t="str">
        <f>IF(NOT(ISBLANK(MINDS!DE$26)),MINDS!DE$26&amp;", "&amp;MINDS!DE$25,"")</f>
        <v/>
      </c>
      <c r="DF62" s="2" t="str">
        <f>IF(NOT(ISBLANK(MINDS!DF$26)),MINDS!DF$26&amp;", "&amp;MINDS!DF$25,"")</f>
        <v/>
      </c>
      <c r="DG62" s="2" t="str">
        <f>IF(NOT(ISBLANK(MINDS!DG$26)),MINDS!DG$26&amp;", "&amp;MINDS!DG$25,"")</f>
        <v/>
      </c>
      <c r="DH62" s="2" t="str">
        <f>IF(NOT(ISBLANK(MINDS!DH$26)),MINDS!DH$26&amp;", "&amp;MINDS!DH$25,"")</f>
        <v/>
      </c>
      <c r="DI62" s="2" t="str">
        <f>IF(NOT(ISBLANK(MINDS!DI$26)),MINDS!DI$26&amp;", "&amp;MINDS!DI$25,"")</f>
        <v/>
      </c>
      <c r="DJ62" s="2" t="str">
        <f>IF(NOT(ISBLANK(MINDS!DJ$26)),MINDS!DJ$26&amp;", "&amp;MINDS!DJ$25,"")</f>
        <v/>
      </c>
      <c r="DK62" s="2" t="str">
        <f>IF(NOT(ISBLANK(MINDS!DK$26)),MINDS!DK$26&amp;", "&amp;MINDS!DK$25,"")</f>
        <v/>
      </c>
      <c r="DL62" s="2" t="str">
        <f>IF(NOT(ISBLANK(MINDS!DL$26)),MINDS!DL$26&amp;", "&amp;MINDS!DL$25,"")</f>
        <v/>
      </c>
      <c r="DM62" s="2" t="str">
        <f>IF(NOT(ISBLANK(MINDS!DM$26)),MINDS!DM$26&amp;", "&amp;MINDS!DM$25,"")</f>
        <v/>
      </c>
      <c r="DN62" s="2" t="str">
        <f>IF(NOT(ISBLANK(MINDS!DN$26)),MINDS!DN$26&amp;", "&amp;MINDS!DN$25,"")</f>
        <v/>
      </c>
      <c r="DO62" s="2" t="str">
        <f>IF(NOT(ISBLANK(MINDS!DO$26)),MINDS!DO$26&amp;", "&amp;MINDS!DO$25,"")</f>
        <v/>
      </c>
      <c r="DP62" s="2" t="str">
        <f>IF(NOT(ISBLANK(MINDS!DP$26)),MINDS!DP$26&amp;", "&amp;MINDS!DP$25,"")</f>
        <v/>
      </c>
      <c r="DQ62" s="2" t="str">
        <f>IF(NOT(ISBLANK(MINDS!DQ$26)),MINDS!DQ$26&amp;", "&amp;MINDS!DQ$25,"")</f>
        <v/>
      </c>
      <c r="DR62" s="2" t="str">
        <f>IF(NOT(ISBLANK(MINDS!DR$26)),MINDS!DR$26&amp;", "&amp;MINDS!DR$25,"")</f>
        <v/>
      </c>
      <c r="DS62" s="2" t="str">
        <f>IF(NOT(ISBLANK(MINDS!DS$26)),MINDS!DS$26&amp;", "&amp;MINDS!DS$25,"")</f>
        <v/>
      </c>
      <c r="DT62" s="2" t="str">
        <f>IF(NOT(ISBLANK(MINDS!DT$26)),MINDS!DT$26&amp;", "&amp;MINDS!DT$25,"")</f>
        <v/>
      </c>
      <c r="DU62" s="2" t="str">
        <f>IF(NOT(ISBLANK(MINDS!DU$26)),MINDS!DU$26&amp;", "&amp;MINDS!DU$25,"")</f>
        <v/>
      </c>
      <c r="DV62" s="2" t="str">
        <f>IF(NOT(ISBLANK(MINDS!DV$26)),MINDS!DV$26&amp;", "&amp;MINDS!DV$25,"")</f>
        <v/>
      </c>
      <c r="DW62" s="2" t="str">
        <f>IF(NOT(ISBLANK(MINDS!DW$26)),MINDS!DW$26&amp;", "&amp;MINDS!DW$25,"")</f>
        <v/>
      </c>
      <c r="DX62" s="2" t="str">
        <f>IF(NOT(ISBLANK(MINDS!DX$26)),MINDS!DX$26&amp;", "&amp;MINDS!DX$25,"")</f>
        <v/>
      </c>
      <c r="DY62" s="2" t="str">
        <f>IF(NOT(ISBLANK(MINDS!DY$26)),MINDS!DY$26&amp;", "&amp;MINDS!DY$25,"")</f>
        <v/>
      </c>
      <c r="DZ62" s="2" t="str">
        <f>IF(NOT(ISBLANK(MINDS!DZ$26)),MINDS!DZ$26&amp;", "&amp;MINDS!DZ$25,"")</f>
        <v/>
      </c>
      <c r="EA62" s="2" t="str">
        <f>IF(NOT(ISBLANK(MINDS!EA$26)),MINDS!EA$26&amp;", "&amp;MINDS!EA$25,"")</f>
        <v/>
      </c>
      <c r="EB62" s="2" t="str">
        <f>IF(NOT(ISBLANK(MINDS!EB$26)),MINDS!EB$26&amp;", "&amp;MINDS!EB$25,"")</f>
        <v/>
      </c>
      <c r="EC62" s="2" t="str">
        <f>IF(NOT(ISBLANK(MINDS!EC$26)),MINDS!EC$26&amp;", "&amp;MINDS!EC$25,"")</f>
        <v/>
      </c>
      <c r="ED62" s="2" t="str">
        <f>IF(NOT(ISBLANK(MINDS!ED$26)),MINDS!ED$26&amp;", "&amp;MINDS!ED$25,"")</f>
        <v/>
      </c>
      <c r="EE62" s="2" t="str">
        <f>IF(NOT(ISBLANK(MINDS!EE$26)),MINDS!EE$26&amp;", "&amp;MINDS!EE$25,"")</f>
        <v/>
      </c>
      <c r="EF62" s="2" t="str">
        <f>IF(NOT(ISBLANK(MINDS!EF$26)),MINDS!EF$26&amp;", "&amp;MINDS!EF$25,"")</f>
        <v/>
      </c>
      <c r="EG62" s="2" t="str">
        <f>IF(NOT(ISBLANK(MINDS!EG$26)),MINDS!EG$26&amp;", "&amp;MINDS!EG$25,"")</f>
        <v/>
      </c>
      <c r="EH62" s="2" t="str">
        <f>IF(NOT(ISBLANK(MINDS!EH$26)),MINDS!EH$26&amp;", "&amp;MINDS!EH$25,"")</f>
        <v/>
      </c>
      <c r="EI62" s="2" t="str">
        <f>IF(NOT(ISBLANK(MINDS!EI$26)),MINDS!EI$26&amp;", "&amp;MINDS!EI$25,"")</f>
        <v/>
      </c>
      <c r="EJ62" s="2" t="str">
        <f>IF(NOT(ISBLANK(MINDS!EJ$26)),MINDS!EJ$26&amp;", "&amp;MINDS!EJ$25,"")</f>
        <v/>
      </c>
      <c r="EK62" s="2" t="str">
        <f>IF(NOT(ISBLANK(MINDS!EK$26)),MINDS!EK$26&amp;", "&amp;MINDS!EK$25,"")</f>
        <v/>
      </c>
      <c r="EL62" s="2" t="str">
        <f>IF(NOT(ISBLANK(MINDS!EL$26)),MINDS!EL$26&amp;", "&amp;MINDS!EL$25,"")</f>
        <v/>
      </c>
      <c r="EM62" s="2" t="str">
        <f>IF(NOT(ISBLANK(MINDS!EM$26)),MINDS!EM$26&amp;", "&amp;MINDS!EM$25,"")</f>
        <v/>
      </c>
      <c r="EN62" s="2" t="str">
        <f>IF(NOT(ISBLANK(MINDS!EN$26)),MINDS!EN$26&amp;", "&amp;MINDS!EN$25,"")</f>
        <v/>
      </c>
      <c r="EO62" s="2" t="str">
        <f>IF(NOT(ISBLANK(MINDS!EO$26)),MINDS!EO$26&amp;", "&amp;MINDS!EO$25,"")</f>
        <v/>
      </c>
      <c r="EP62" s="2" t="str">
        <f>IF(NOT(ISBLANK(MINDS!EP$26)),MINDS!EP$26&amp;", "&amp;MINDS!EP$25,"")</f>
        <v/>
      </c>
      <c r="EQ62" s="2" t="str">
        <f>IF(NOT(ISBLANK(MINDS!EQ$26)),MINDS!EQ$26&amp;", "&amp;MINDS!EQ$25,"")</f>
        <v/>
      </c>
      <c r="ER62" s="2" t="str">
        <f>IF(NOT(ISBLANK(MINDS!ER$26)),MINDS!ER$26&amp;", "&amp;MINDS!ER$25,"")</f>
        <v/>
      </c>
      <c r="ES62" s="2" t="str">
        <f>IF(NOT(ISBLANK(MINDS!ES$26)),MINDS!ES$26&amp;", "&amp;MINDS!ES$25,"")</f>
        <v/>
      </c>
      <c r="ET62" s="2" t="str">
        <f>IF(NOT(ISBLANK(MINDS!ET$26)),MINDS!ET$26&amp;", "&amp;MINDS!ET$25,"")</f>
        <v/>
      </c>
      <c r="EU62" s="2" t="str">
        <f>IF(NOT(ISBLANK(MINDS!EU$26)),MINDS!EU$26&amp;", "&amp;MINDS!EU$25,"")</f>
        <v/>
      </c>
      <c r="EV62" s="2" t="str">
        <f>IF(NOT(ISBLANK(MINDS!EV$26)),MINDS!EV$26&amp;", "&amp;MINDS!EV$25,"")</f>
        <v/>
      </c>
      <c r="EW62" s="2" t="str">
        <f>IF(NOT(ISBLANK(MINDS!EW$26)),MINDS!EW$26&amp;", "&amp;MINDS!EW$25,"")</f>
        <v/>
      </c>
      <c r="EX62" s="2" t="str">
        <f>IF(NOT(ISBLANK(MINDS!EX$26)),MINDS!EX$26&amp;", "&amp;MINDS!EX$25,"")</f>
        <v/>
      </c>
      <c r="EY62" s="2" t="str">
        <f>IF(NOT(ISBLANK(MINDS!EY$26)),MINDS!EY$26&amp;", "&amp;MINDS!EY$25,"")</f>
        <v/>
      </c>
      <c r="EZ62" s="2" t="str">
        <f>IF(NOT(ISBLANK(MINDS!EZ$26)),MINDS!EZ$26&amp;", "&amp;MINDS!EZ$25,"")</f>
        <v/>
      </c>
      <c r="FA62" s="2" t="str">
        <f>IF(NOT(ISBLANK(MINDS!FA$26)),MINDS!FA$26&amp;", "&amp;MINDS!FA$25,"")</f>
        <v/>
      </c>
      <c r="FB62" s="2" t="str">
        <f>IF(NOT(ISBLANK(MINDS!FB$26)),MINDS!FB$26&amp;", "&amp;MINDS!FB$25,"")</f>
        <v/>
      </c>
      <c r="FC62" s="2" t="str">
        <f>IF(NOT(ISBLANK(MINDS!FC$26)),MINDS!FC$26&amp;", "&amp;MINDS!FC$25,"")</f>
        <v/>
      </c>
      <c r="FD62" s="2" t="str">
        <f>IF(NOT(ISBLANK(MINDS!FD$26)),MINDS!FD$26&amp;", "&amp;MINDS!FD$25,"")</f>
        <v/>
      </c>
      <c r="FE62" s="2" t="str">
        <f>IF(NOT(ISBLANK(MINDS!FE$26)),MINDS!FE$26&amp;", "&amp;MINDS!FE$25,"")</f>
        <v/>
      </c>
      <c r="FF62" s="2" t="str">
        <f>IF(NOT(ISBLANK(MINDS!FF$26)),MINDS!FF$26&amp;", "&amp;MINDS!FF$25,"")</f>
        <v/>
      </c>
      <c r="FG62" s="2" t="str">
        <f>IF(NOT(ISBLANK(MINDS!FG$26)),MINDS!FG$26&amp;", "&amp;MINDS!FG$25,"")</f>
        <v/>
      </c>
      <c r="FH62" s="2" t="str">
        <f>IF(NOT(ISBLANK(MINDS!FH$26)),MINDS!FH$26&amp;", "&amp;MINDS!FH$25,"")</f>
        <v/>
      </c>
      <c r="FI62" s="2" t="str">
        <f>IF(NOT(ISBLANK(MINDS!FI$26)),MINDS!FI$26&amp;", "&amp;MINDS!FI$25,"")</f>
        <v/>
      </c>
      <c r="FJ62" s="2" t="str">
        <f>IF(NOT(ISBLANK(MINDS!FJ$26)),MINDS!FJ$26&amp;", "&amp;MINDS!FJ$25,"")</f>
        <v/>
      </c>
      <c r="FK62" s="2" t="str">
        <f>IF(NOT(ISBLANK(MINDS!FK$26)),MINDS!FK$26&amp;", "&amp;MINDS!FK$25,"")</f>
        <v/>
      </c>
      <c r="FL62" s="2" t="str">
        <f>IF(NOT(ISBLANK(MINDS!FL$26)),MINDS!FL$26&amp;", "&amp;MINDS!FL$25,"")</f>
        <v/>
      </c>
      <c r="FM62" s="2" t="str">
        <f>IF(NOT(ISBLANK(MINDS!FM$26)),MINDS!FM$26&amp;", "&amp;MINDS!FM$25,"")</f>
        <v/>
      </c>
      <c r="FN62" s="2" t="str">
        <f>IF(NOT(ISBLANK(MINDS!FN$26)),MINDS!FN$26&amp;", "&amp;MINDS!FN$25,"")</f>
        <v/>
      </c>
      <c r="FO62" s="2" t="str">
        <f>IF(NOT(ISBLANK(MINDS!FO$26)),MINDS!FO$26&amp;", "&amp;MINDS!FO$25,"")</f>
        <v/>
      </c>
      <c r="FP62" s="2" t="str">
        <f>IF(NOT(ISBLANK(MINDS!FP$26)),MINDS!FP$26&amp;", "&amp;MINDS!FP$25,"")</f>
        <v/>
      </c>
      <c r="FQ62" s="2" t="str">
        <f>IF(NOT(ISBLANK(MINDS!FQ$26)),MINDS!FQ$26&amp;", "&amp;MINDS!FQ$25,"")</f>
        <v/>
      </c>
      <c r="FR62" s="2" t="str">
        <f>IF(NOT(ISBLANK(MINDS!FR$26)),MINDS!FR$26&amp;", "&amp;MINDS!FR$25,"")</f>
        <v/>
      </c>
      <c r="FS62" s="2" t="str">
        <f>IF(NOT(ISBLANK(MINDS!FS$26)),MINDS!FS$26&amp;", "&amp;MINDS!FS$25,"")</f>
        <v/>
      </c>
      <c r="FT62" s="2" t="str">
        <f>IF(NOT(ISBLANK(MINDS!FT$26)),MINDS!FT$26&amp;", "&amp;MINDS!FT$25,"")</f>
        <v/>
      </c>
      <c r="FU62" s="2" t="str">
        <f>IF(NOT(ISBLANK(MINDS!FU$26)),MINDS!FU$26&amp;", "&amp;MINDS!FU$25,"")</f>
        <v/>
      </c>
      <c r="FV62" s="2" t="str">
        <f>IF(NOT(ISBLANK(MINDS!FV$26)),MINDS!FV$26&amp;", "&amp;MINDS!FV$25,"")</f>
        <v/>
      </c>
      <c r="FW62" s="2" t="str">
        <f>IF(NOT(ISBLANK(MINDS!FW$26)),MINDS!FW$26&amp;", "&amp;MINDS!FW$25,"")</f>
        <v/>
      </c>
      <c r="FX62" s="2" t="str">
        <f>IF(NOT(ISBLANK(MINDS!FX$26)),MINDS!FX$26&amp;", "&amp;MINDS!FX$25,"")</f>
        <v/>
      </c>
      <c r="FY62" s="2" t="str">
        <f>IF(NOT(ISBLANK(MINDS!FY$26)),MINDS!FY$26&amp;", "&amp;MINDS!FY$25,"")</f>
        <v/>
      </c>
      <c r="FZ62" s="2" t="str">
        <f>IF(NOT(ISBLANK(MINDS!FZ$26)),MINDS!FZ$26&amp;", "&amp;MINDS!FZ$25,"")</f>
        <v/>
      </c>
      <c r="GA62" s="2" t="str">
        <f>IF(NOT(ISBLANK(MINDS!GA$26)),MINDS!GA$26&amp;", "&amp;MINDS!GA$25,"")</f>
        <v/>
      </c>
      <c r="GB62" s="2" t="str">
        <f>IF(NOT(ISBLANK(MINDS!GB$26)),MINDS!GB$26&amp;", "&amp;MINDS!GB$25,"")</f>
        <v/>
      </c>
      <c r="GC62" s="2" t="str">
        <f>IF(NOT(ISBLANK(MINDS!GC$26)),MINDS!GC$26&amp;", "&amp;MINDS!GC$25,"")</f>
        <v/>
      </c>
      <c r="GD62" s="2" t="str">
        <f>IF(NOT(ISBLANK(MINDS!GD$26)),MINDS!GD$26&amp;", "&amp;MINDS!GD$25,"")</f>
        <v/>
      </c>
      <c r="GE62" s="2" t="str">
        <f>IF(NOT(ISBLANK(MINDS!GE$26)),MINDS!GE$26&amp;", "&amp;MINDS!GE$25,"")</f>
        <v/>
      </c>
      <c r="GF62" s="2" t="str">
        <f>IF(NOT(ISBLANK(MINDS!GF$26)),MINDS!GF$26&amp;", "&amp;MINDS!GF$25,"")</f>
        <v/>
      </c>
      <c r="GG62" s="2" t="str">
        <f>IF(NOT(ISBLANK(MINDS!GG$26)),MINDS!GG$26&amp;", "&amp;MINDS!GG$25,"")</f>
        <v/>
      </c>
      <c r="GH62" s="2" t="str">
        <f>IF(NOT(ISBLANK(MINDS!GH$26)),MINDS!GH$26&amp;", "&amp;MINDS!GH$25,"")</f>
        <v/>
      </c>
      <c r="GI62" s="2" t="str">
        <f>IF(NOT(ISBLANK(MINDS!GI$26)),MINDS!GI$26&amp;", "&amp;MINDS!GI$25,"")</f>
        <v/>
      </c>
      <c r="GJ62" s="2" t="str">
        <f>IF(NOT(ISBLANK(MINDS!GJ$26)),MINDS!GJ$26&amp;", "&amp;MINDS!GJ$25,"")</f>
        <v/>
      </c>
      <c r="GK62" s="2" t="str">
        <f>IF(NOT(ISBLANK(MINDS!GK$26)),MINDS!GK$26&amp;", "&amp;MINDS!GK$25,"")</f>
        <v/>
      </c>
      <c r="GL62" s="2" t="str">
        <f>IF(NOT(ISBLANK(MINDS!GL$26)),MINDS!GL$26&amp;", "&amp;MINDS!GL$25,"")</f>
        <v/>
      </c>
      <c r="GM62" s="2" t="str">
        <f>IF(NOT(ISBLANK(MINDS!GM$26)),MINDS!GM$26&amp;", "&amp;MINDS!GM$25,"")</f>
        <v/>
      </c>
      <c r="GN62" s="2" t="str">
        <f>IF(NOT(ISBLANK(MINDS!GN$26)),MINDS!GN$26&amp;", "&amp;MINDS!GN$25,"")</f>
        <v/>
      </c>
      <c r="GO62" s="2" t="str">
        <f>IF(NOT(ISBLANK(MINDS!GO$26)),MINDS!GO$26&amp;", "&amp;MINDS!GO$25,"")</f>
        <v/>
      </c>
      <c r="GP62" s="2" t="str">
        <f>IF(NOT(ISBLANK(MINDS!GP$26)),MINDS!GP$26&amp;", "&amp;MINDS!GP$25,"")</f>
        <v/>
      </c>
      <c r="GQ62" s="2" t="str">
        <f>IF(NOT(ISBLANK(MINDS!GQ$26)),MINDS!GQ$26&amp;", "&amp;MINDS!GQ$25,"")</f>
        <v/>
      </c>
      <c r="GR62" s="2" t="str">
        <f>IF(NOT(ISBLANK(MINDS!GR$26)),MINDS!GR$26&amp;", "&amp;MINDS!GR$25,"")</f>
        <v/>
      </c>
      <c r="GS62" s="2" t="str">
        <f>IF(NOT(ISBLANK(MINDS!GS$26)),MINDS!GS$26&amp;", "&amp;MINDS!GS$25,"")</f>
        <v/>
      </c>
      <c r="GT62" s="2" t="str">
        <f>IF(NOT(ISBLANK(MINDS!GT$26)),MINDS!GT$26&amp;", "&amp;MINDS!GT$25,"")</f>
        <v/>
      </c>
      <c r="GU62" s="2" t="str">
        <f>IF(NOT(ISBLANK(MINDS!GU$26)),MINDS!GU$26&amp;", "&amp;MINDS!GU$25,"")</f>
        <v/>
      </c>
      <c r="GV62" s="2" t="str">
        <f>IF(NOT(ISBLANK(MINDS!GV$26)),MINDS!GV$26&amp;", "&amp;MINDS!GV$25,"")</f>
        <v/>
      </c>
      <c r="GW62" s="2" t="str">
        <f>IF(NOT(ISBLANK(MINDS!GW$26)),MINDS!GW$26&amp;", "&amp;MINDS!GW$25,"")</f>
        <v/>
      </c>
      <c r="GX62" s="2" t="str">
        <f>IF(NOT(ISBLANK(MINDS!GX$26)),MINDS!GX$26&amp;", "&amp;MINDS!GX$25,"")</f>
        <v/>
      </c>
      <c r="GY62" s="2" t="str">
        <f>IF(NOT(ISBLANK(MINDS!GY$26)),MINDS!GY$26&amp;", "&amp;MINDS!GY$25,"")</f>
        <v/>
      </c>
      <c r="GZ62" s="2" t="str">
        <f>IF(NOT(ISBLANK(MINDS!GZ$26)),MINDS!GZ$26&amp;", "&amp;MINDS!GZ$25,"")</f>
        <v/>
      </c>
      <c r="HA62" s="2" t="str">
        <f>IF(NOT(ISBLANK(MINDS!HA$26)),MINDS!HA$26&amp;", "&amp;MINDS!HA$25,"")</f>
        <v/>
      </c>
      <c r="HB62" s="2" t="str">
        <f>IF(NOT(ISBLANK(MINDS!HB$26)),MINDS!HB$26&amp;", "&amp;MINDS!HB$25,"")</f>
        <v/>
      </c>
      <c r="HC62" s="2" t="str">
        <f>IF(NOT(ISBLANK(MINDS!HC$26)),MINDS!HC$26&amp;", "&amp;MINDS!HC$25,"")</f>
        <v/>
      </c>
      <c r="HD62" s="2" t="str">
        <f>IF(NOT(ISBLANK(MINDS!HD$26)),MINDS!HD$26&amp;", "&amp;MINDS!HD$25,"")</f>
        <v/>
      </c>
      <c r="HE62" s="2" t="str">
        <f>IF(NOT(ISBLANK(MINDS!HE$26)),MINDS!HE$26&amp;", "&amp;MINDS!HE$25,"")</f>
        <v/>
      </c>
      <c r="HF62" s="2" t="str">
        <f>IF(NOT(ISBLANK(MINDS!HF$26)),MINDS!HF$26&amp;", "&amp;MINDS!HF$25,"")</f>
        <v/>
      </c>
      <c r="HG62" s="2" t="str">
        <f>IF(NOT(ISBLANK(MINDS!HG$26)),MINDS!HG$26&amp;", "&amp;MINDS!HG$25,"")</f>
        <v/>
      </c>
      <c r="HH62" s="2" t="str">
        <f>IF(NOT(ISBLANK(MINDS!HH$26)),MINDS!HH$26&amp;", "&amp;MINDS!HH$25,"")</f>
        <v/>
      </c>
      <c r="HI62" s="2" t="str">
        <f>IF(NOT(ISBLANK(MINDS!HI$26)),MINDS!HI$26&amp;", "&amp;MINDS!HI$25,"")</f>
        <v/>
      </c>
      <c r="HJ62" s="2" t="str">
        <f>IF(NOT(ISBLANK(MINDS!HJ$26)),MINDS!HJ$26&amp;", "&amp;MINDS!HJ$25,"")</f>
        <v/>
      </c>
      <c r="HK62" s="2" t="str">
        <f>IF(NOT(ISBLANK(MINDS!HK$26)),MINDS!HK$26&amp;", "&amp;MINDS!HK$25,"")</f>
        <v/>
      </c>
      <c r="HL62" s="2" t="str">
        <f>IF(NOT(ISBLANK(MINDS!HL$26)),MINDS!HL$26&amp;", "&amp;MINDS!HL$25,"")</f>
        <v/>
      </c>
      <c r="HM62" s="2" t="str">
        <f>IF(NOT(ISBLANK(MINDS!HM$26)),MINDS!HM$26&amp;", "&amp;MINDS!HM$25,"")</f>
        <v/>
      </c>
      <c r="HN62" s="2" t="str">
        <f>IF(NOT(ISBLANK(MINDS!HN$26)),MINDS!HN$26&amp;", "&amp;MINDS!HN$25,"")</f>
        <v/>
      </c>
      <c r="HO62" s="2" t="str">
        <f>IF(NOT(ISBLANK(MINDS!HO$26)),MINDS!HO$26&amp;", "&amp;MINDS!HO$25,"")</f>
        <v/>
      </c>
      <c r="HP62" s="2" t="str">
        <f>IF(NOT(ISBLANK(MINDS!HP$26)),MINDS!HP$26&amp;", "&amp;MINDS!HP$25,"")</f>
        <v/>
      </c>
      <c r="HQ62" s="2" t="str">
        <f>IF(NOT(ISBLANK(MINDS!HQ$26)),MINDS!HQ$26&amp;", "&amp;MINDS!HQ$25,"")</f>
        <v/>
      </c>
      <c r="HR62" s="2" t="str">
        <f>IF(NOT(ISBLANK(MINDS!HR$26)),MINDS!HR$26&amp;", "&amp;MINDS!HR$25,"")</f>
        <v/>
      </c>
      <c r="HS62" s="2" t="str">
        <f>IF(NOT(ISBLANK(MINDS!HS$26)),MINDS!HS$26&amp;", "&amp;MINDS!HS$25,"")</f>
        <v/>
      </c>
      <c r="HT62" s="2" t="str">
        <f>IF(NOT(ISBLANK(MINDS!HT$26)),MINDS!HT$26&amp;", "&amp;MINDS!HT$25,"")</f>
        <v/>
      </c>
      <c r="HU62" s="2" t="str">
        <f>IF(NOT(ISBLANK(MINDS!HU$26)),MINDS!HU$26&amp;", "&amp;MINDS!HU$25,"")</f>
        <v/>
      </c>
      <c r="HV62" s="2" t="str">
        <f>IF(NOT(ISBLANK(MINDS!HV$26)),MINDS!HV$26&amp;", "&amp;MINDS!HV$25,"")</f>
        <v/>
      </c>
      <c r="HW62" s="2" t="str">
        <f>IF(NOT(ISBLANK(MINDS!HW$26)),MINDS!HW$26&amp;", "&amp;MINDS!HW$25,"")</f>
        <v/>
      </c>
      <c r="HX62" s="2" t="str">
        <f>IF(NOT(ISBLANK(MINDS!HX$26)),MINDS!HX$26&amp;", "&amp;MINDS!HX$25,"")</f>
        <v/>
      </c>
      <c r="HY62" s="2" t="str">
        <f>IF(NOT(ISBLANK(MINDS!HY$26)),MINDS!HY$26&amp;", "&amp;MINDS!HY$25,"")</f>
        <v/>
      </c>
      <c r="HZ62" s="2" t="str">
        <f>IF(NOT(ISBLANK(MINDS!HZ$26)),MINDS!HZ$26&amp;", "&amp;MINDS!HZ$25,"")</f>
        <v/>
      </c>
      <c r="IA62" s="2" t="str">
        <f>IF(NOT(ISBLANK(MINDS!IA$26)),MINDS!IA$26&amp;", "&amp;MINDS!IA$25,"")</f>
        <v/>
      </c>
      <c r="IB62" s="2" t="str">
        <f>IF(NOT(ISBLANK(MINDS!IB$26)),MINDS!IB$26&amp;", "&amp;MINDS!IB$25,"")</f>
        <v/>
      </c>
      <c r="IC62" s="2" t="str">
        <f>IF(NOT(ISBLANK(MINDS!IC$26)),MINDS!IC$26&amp;", "&amp;MINDS!IC$25,"")</f>
        <v/>
      </c>
      <c r="ID62" s="2" t="str">
        <f>IF(NOT(ISBLANK(MINDS!ID$26)),MINDS!ID$26&amp;", "&amp;MINDS!ID$25,"")</f>
        <v/>
      </c>
      <c r="IE62" s="2" t="str">
        <f>IF(NOT(ISBLANK(MINDS!IE$26)),MINDS!IE$26&amp;", "&amp;MINDS!IE$25,"")</f>
        <v/>
      </c>
      <c r="IF62" s="2" t="str">
        <f>IF(NOT(ISBLANK(MINDS!IF$26)),MINDS!IF$26&amp;", "&amp;MINDS!IF$25,"")</f>
        <v/>
      </c>
      <c r="IG62" s="2" t="str">
        <f>IF(NOT(ISBLANK(MINDS!IG$26)),MINDS!IG$26&amp;", "&amp;MINDS!IG$25,"")</f>
        <v/>
      </c>
      <c r="IH62" s="2" t="str">
        <f>IF(NOT(ISBLANK(MINDS!IH$26)),MINDS!IH$26&amp;", "&amp;MINDS!IH$25,"")</f>
        <v/>
      </c>
      <c r="II62" s="2" t="str">
        <f>IF(NOT(ISBLANK(MINDS!II$26)),MINDS!II$26&amp;", "&amp;MINDS!II$25,"")</f>
        <v/>
      </c>
      <c r="IJ62" s="2" t="str">
        <f>IF(NOT(ISBLANK(MINDS!IJ$26)),MINDS!IJ$26&amp;", "&amp;MINDS!IJ$25,"")</f>
        <v/>
      </c>
      <c r="IK62" s="2" t="str">
        <f>IF(NOT(ISBLANK(MINDS!IK$26)),MINDS!IK$26&amp;", "&amp;MINDS!IK$25,"")</f>
        <v/>
      </c>
      <c r="IL62" s="2" t="str">
        <f>IF(NOT(ISBLANK(MINDS!IL$26)),MINDS!IL$26&amp;", "&amp;MINDS!IL$25,"")</f>
        <v/>
      </c>
      <c r="IM62" s="2" t="str">
        <f>IF(NOT(ISBLANK(MINDS!IM$26)),MINDS!IM$26&amp;", "&amp;MINDS!IM$25,"")</f>
        <v/>
      </c>
      <c r="IN62" s="2" t="str">
        <f>IF(NOT(ISBLANK(MINDS!IN$26)),MINDS!IN$26&amp;", "&amp;MINDS!IN$25,"")</f>
        <v/>
      </c>
      <c r="IO62" s="2" t="str">
        <f>IF(NOT(ISBLANK(MINDS!IO$26)),MINDS!IO$26&amp;", "&amp;MINDS!IO$25,"")</f>
        <v/>
      </c>
      <c r="IP62" s="2" t="str">
        <f>IF(NOT(ISBLANK(MINDS!IP$26)),MINDS!IP$26&amp;", "&amp;MINDS!IP$25,"")</f>
        <v/>
      </c>
      <c r="IQ62" s="2" t="str">
        <f>IF(NOT(ISBLANK(MINDS!IQ$26)),MINDS!IQ$26&amp;", "&amp;MINDS!IQ$25,"")</f>
        <v/>
      </c>
      <c r="IR62" s="2" t="str">
        <f>IF(NOT(ISBLANK(MINDS!IR$26)),MINDS!IR$26&amp;", "&amp;MINDS!IR$25,"")</f>
        <v/>
      </c>
      <c r="IS62" s="2" t="str">
        <f>IF(NOT(ISBLANK(MINDS!IS$26)),MINDS!IS$26&amp;", "&amp;MINDS!IS$25,"")</f>
        <v/>
      </c>
      <c r="IT62" s="2" t="str">
        <f>IF(NOT(ISBLANK(MINDS!IT$26)),MINDS!IT$26&amp;", "&amp;MINDS!IT$25,"")</f>
        <v/>
      </c>
      <c r="IU62" s="2" t="str">
        <f>IF(NOT(ISBLANK(MINDS!IU$26)),MINDS!IU$26&amp;", "&amp;MINDS!IU$25,"")</f>
        <v/>
      </c>
      <c r="IV62" s="2" t="str">
        <f>IF(NOT(ISBLANK(MINDS!IV$26)),MINDS!IV$26&amp;", "&amp;MINDS!IV$25,"")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MINDS</vt:lpstr>
      <vt:lpstr>DataWorkbench</vt:lpstr>
      <vt:lpstr>DataWorkbench!ActivityCountA</vt:lpstr>
      <vt:lpstr>DataWorkbench!ActivityCountE</vt:lpstr>
      <vt:lpstr>DataWorkbench!ComponentID</vt:lpstr>
      <vt:lpstr>DataWorkbench!DatasetCount</vt:lpstr>
      <vt:lpstr>PersonLookup</vt:lpstr>
      <vt:lpstr>DataWorkbench!SpecimenGroupCount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2018-05-01T08:14:51Z</dcterms:created>
  <dcterms:modified xsi:type="dcterms:W3CDTF">2018-05-18T18:57:40Z</dcterms:modified>
</cp:coreProperties>
</file>